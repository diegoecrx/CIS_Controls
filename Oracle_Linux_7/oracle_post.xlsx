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myperl\"/>
    </mc:Choice>
  </mc:AlternateContent>
  <xr:revisionPtr revIDLastSave="0" documentId="13_ncr:1_{24DF60E1-B274-48C5-91F1-8F4B60DA1274}" xr6:coauthVersionLast="47" xr6:coauthVersionMax="47" xr10:uidLastSave="{00000000-0000-0000-0000-000000000000}"/>
  <bookViews>
    <workbookView xWindow="43095" yWindow="0" windowWidth="14610" windowHeight="15585" firstSheet="2" activeTab="9" xr2:uid="{00000000-000D-0000-FFFF-FFFF00000000}"/>
  </bookViews>
  <sheets>
    <sheet name="Home Worksheet" sheetId="1" r:id="rId1"/>
    <sheet name="host_scan_data" sheetId="2" r:id="rId2"/>
    <sheet name="ScanInfo" sheetId="3" r:id="rId3"/>
    <sheet name="CVSSv3 Score Total" sheetId="4" r:id="rId4"/>
    <sheet name="Information" sheetId="5" r:id="rId5"/>
    <sheet name="CPE Report Data" sheetId="6" r:id="rId6"/>
    <sheet name="Device Type" sheetId="7" r:id="rId7"/>
    <sheet name="HostConfigData" sheetId="8" r:id="rId8"/>
    <sheet name="portScanData" sheetId="9" r:id="rId9"/>
    <sheet name="Sheet1" sheetId="17" r:id="rId10"/>
    <sheet name="Unix Policy" sheetId="10" r:id="rId11"/>
    <sheet name="UserAccountData" sheetId="11" r:id="rId12"/>
    <sheet name="Summary Report Data" sheetId="12" r:id="rId13"/>
    <sheet name="PolicySummary Report Data" sheetId="13" r:id="rId14"/>
    <sheet name="Vulnerability to IP Summary" sheetId="14" r:id="rId15"/>
    <sheet name="Authentication Summary Data" sheetId="15" r:id="rId16"/>
    <sheet name="HostSummary Report Data" sheetId="16" r:id="rId17"/>
  </sheets>
  <definedNames>
    <definedName name="_xlnm._FilterDatabase" localSheetId="15" hidden="1">'Authentication Summary Data'!$A$6:$AF$6</definedName>
    <definedName name="_xlnm._FilterDatabase" localSheetId="5" hidden="1">'CPE Report Data'!$A$2:$Z$2</definedName>
    <definedName name="_xlnm._FilterDatabase" localSheetId="3" hidden="1">'CVSSv3 Score Total'!$A$5:$T$5</definedName>
    <definedName name="_xlnm._FilterDatabase" localSheetId="6" hidden="1">'Device Type'!$A$2:$Z$2</definedName>
    <definedName name="_xlnm._FilterDatabase" localSheetId="1" hidden="1">host_scan_data!$A$2:$T$2</definedName>
    <definedName name="_xlnm._FilterDatabase" localSheetId="7" hidden="1">HostConfigData!$A$2:$Z$2</definedName>
    <definedName name="_xlnm._FilterDatabase" localSheetId="4" hidden="1">Information!$A$2:$Z$2</definedName>
    <definedName name="_xlnm._FilterDatabase" localSheetId="13" hidden="1">'PolicySummary Report Data'!$A$3:$F$3</definedName>
    <definedName name="_xlnm._FilterDatabase" localSheetId="8" hidden="1">portScanData!$A$2:$K$2</definedName>
    <definedName name="_xlnm._FilterDatabase" localSheetId="2" hidden="1">ScanInfo!$A$2:$Q$2</definedName>
    <definedName name="_xlnm._FilterDatabase" localSheetId="10" hidden="1">'Unix Policy'!$A$1:$N$1</definedName>
    <definedName name="_xlnm._FilterDatabase" localSheetId="11" hidden="1">UserAccountData!$A$2:$S$2</definedName>
    <definedName name="_xlnm._FilterDatabase" localSheetId="14" hidden="1">'Vulnerability to IP Summary'!$A$2:$F$2</definedName>
  </definedNames>
  <calcPr calcId="191029"/>
  <pivotCaches>
    <pivotCache cacheId="8"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5" l="1"/>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D3" i="15"/>
  <c r="B3" i="15"/>
  <c r="O13" i="12"/>
  <c r="N13" i="12"/>
  <c r="M13" i="12"/>
  <c r="L13" i="12"/>
  <c r="K13" i="12"/>
  <c r="J13" i="12"/>
  <c r="I13" i="12"/>
  <c r="H13" i="12"/>
  <c r="G13" i="12"/>
  <c r="F13" i="12"/>
  <c r="E13" i="12"/>
  <c r="D13" i="12"/>
  <c r="C13" i="12"/>
  <c r="B13" i="12"/>
  <c r="O12" i="12"/>
  <c r="N12" i="12"/>
  <c r="M12" i="12"/>
  <c r="L12" i="12"/>
  <c r="K12" i="12"/>
  <c r="J12" i="12"/>
  <c r="I12" i="12"/>
  <c r="H12" i="12"/>
  <c r="G12" i="12"/>
  <c r="F12" i="12"/>
  <c r="E12" i="12"/>
  <c r="D12" i="12"/>
  <c r="C12" i="12"/>
  <c r="B12" i="12"/>
  <c r="O11" i="12"/>
  <c r="N11" i="12"/>
  <c r="M11" i="12"/>
  <c r="L11" i="12"/>
  <c r="K11" i="12"/>
  <c r="J11" i="12"/>
  <c r="I11" i="12"/>
  <c r="H11" i="12"/>
  <c r="G11" i="12"/>
  <c r="F11" i="12"/>
  <c r="E11" i="12"/>
  <c r="D11" i="12"/>
  <c r="C11" i="12"/>
  <c r="B11" i="12"/>
  <c r="O10" i="12"/>
  <c r="N10" i="12"/>
  <c r="M10" i="12"/>
  <c r="L10" i="12"/>
  <c r="K10" i="12"/>
  <c r="J10" i="12"/>
  <c r="I10" i="12"/>
  <c r="H10" i="12"/>
  <c r="G10" i="12"/>
  <c r="F10" i="12"/>
  <c r="E10" i="12"/>
  <c r="D10" i="12"/>
  <c r="C10" i="12"/>
  <c r="B10" i="12"/>
  <c r="O9" i="12"/>
  <c r="N9" i="12"/>
  <c r="M9" i="12"/>
  <c r="L9" i="12"/>
  <c r="K9" i="12"/>
  <c r="J9" i="12"/>
  <c r="I9" i="12"/>
  <c r="H9" i="12"/>
  <c r="G9" i="12"/>
  <c r="F9" i="12"/>
  <c r="E9" i="12"/>
  <c r="D9" i="12"/>
  <c r="C9" i="12"/>
  <c r="B9" i="12"/>
  <c r="O8" i="12"/>
  <c r="N8" i="12"/>
  <c r="M8" i="12"/>
  <c r="L8" i="12"/>
  <c r="K8" i="12"/>
  <c r="J8" i="12"/>
  <c r="I8" i="12"/>
  <c r="H8" i="12"/>
  <c r="G8" i="12"/>
  <c r="F8" i="12"/>
  <c r="E8" i="12"/>
  <c r="D8" i="12"/>
  <c r="C8" i="12"/>
  <c r="B8" i="12"/>
  <c r="O7" i="12"/>
  <c r="N7" i="12"/>
  <c r="M7" i="12"/>
  <c r="L7" i="12"/>
  <c r="K7" i="12"/>
  <c r="J7" i="12"/>
  <c r="I7" i="12"/>
  <c r="H7" i="12"/>
  <c r="G7" i="12"/>
  <c r="F7" i="12"/>
  <c r="E7" i="12"/>
  <c r="D7" i="12"/>
  <c r="C7" i="12"/>
  <c r="B7" i="12"/>
  <c r="O6" i="12"/>
  <c r="N6" i="12"/>
  <c r="M6" i="12"/>
  <c r="L6" i="12"/>
  <c r="K6" i="12"/>
  <c r="J6" i="12"/>
  <c r="I6" i="12"/>
  <c r="H6" i="12"/>
  <c r="G6" i="12"/>
  <c r="F6" i="12"/>
  <c r="E6" i="12"/>
  <c r="D6" i="12"/>
  <c r="C6" i="12"/>
  <c r="B6" i="12"/>
  <c r="O5" i="12"/>
  <c r="N5" i="12"/>
  <c r="M5" i="12"/>
  <c r="L5" i="12"/>
  <c r="K5" i="12"/>
  <c r="J5" i="12"/>
  <c r="I5" i="12"/>
  <c r="H5" i="12"/>
  <c r="G5" i="12"/>
  <c r="F5" i="12"/>
  <c r="E5" i="12"/>
  <c r="D5" i="12"/>
  <c r="C5" i="12"/>
  <c r="B5" i="12"/>
  <c r="O4" i="12"/>
  <c r="N4" i="12"/>
  <c r="M4" i="12"/>
  <c r="L4" i="12"/>
  <c r="K4" i="12"/>
  <c r="J4" i="12"/>
  <c r="I4" i="12"/>
  <c r="H4" i="12"/>
  <c r="G4" i="12"/>
  <c r="F4" i="12"/>
  <c r="E4" i="12"/>
  <c r="D4" i="12"/>
  <c r="C4" i="12"/>
  <c r="B4" i="12"/>
  <c r="B40" i="1"/>
  <c r="B39" i="1"/>
  <c r="B38" i="1"/>
  <c r="B37" i="1"/>
  <c r="B36" i="1"/>
</calcChain>
</file>

<file path=xl/sharedStrings.xml><?xml version="1.0" encoding="utf-8"?>
<sst xmlns="http://schemas.openxmlformats.org/spreadsheetml/2006/main" count="4903" uniqueCount="1620">
  <si>
    <t>'Home Worksheet'!A1</t>
  </si>
  <si>
    <t>File</t>
  </si>
  <si>
    <t>IP Address</t>
  </si>
  <si>
    <t>FQDN</t>
  </si>
  <si>
    <t>Plugin ID</t>
  </si>
  <si>
    <t>Protocol</t>
  </si>
  <si>
    <t>Port</t>
  </si>
  <si>
    <t>Severity</t>
  </si>
  <si>
    <t>Plugin Family</t>
  </si>
  <si>
    <t>Plugin Name</t>
  </si>
  <si>
    <t>CVSSv3 Vector</t>
  </si>
  <si>
    <t>CVSSv3 Base Score</t>
  </si>
  <si>
    <t>CVSSv3 Temporal Score</t>
  </si>
  <si>
    <t>Exploitability Ease</t>
  </si>
  <si>
    <t>Exploit Available</t>
  </si>
  <si>
    <t>Exploit Framework Canvas</t>
  </si>
  <si>
    <t>Exploit Framework Metasploit</t>
  </si>
  <si>
    <t>Exploit Framework Core</t>
  </si>
  <si>
    <t>Metasploit Name</t>
  </si>
  <si>
    <t>Canvas Package</t>
  </si>
  <si>
    <t>Plugin Output</t>
  </si>
  <si>
    <t>oracle_post.nessus</t>
  </si>
  <si>
    <t>192.168.0.75</t>
  </si>
  <si>
    <t>RB-NT-201.redbelt.com.br</t>
  </si>
  <si>
    <t>tcp</t>
  </si>
  <si>
    <t>Settings</t>
  </si>
  <si>
    <t>Target Credential Status by Authentication Protocol - Valid Credentials Provided</t>
  </si>
  <si>
    <t>N/A</t>
  </si>
  <si>
    <t>|Nessus was able to log in to the remote host via the following :||User:       'master'|Port:       22|Proto:      SSH|Method:     password|Escalation: su_sudo|</t>
  </si>
  <si>
    <t>SSH Commands Require Privilege Escalation</t>
  </si>
  <si>
    <t>|Login account : master|Commands failed due to privilege escalation failure:|- Escalation account : master + master|  Escalation method  : su + sudo|  Plugins :|  - Plugin Filename : host_tag_nix.nbin|    Plugin ID       : 87414|    Plugin Name     : Host Tagging (Linux)|    - Command  : "sh -c \"echo 8a6fd7ced0914969b04f0d2a1782b4a8 &gt; /etc/tenable_tag &amp;&amp; echo OK\""|      Response : "sh: /etc/tenable_tag: Permission denied"|      Error    : ""|  - Plugin Filename : ssh_get_info2.nasl|    Plugin ID       : 97993|    Plugin Name     : OS Identification and Installed Software Enumeration over SSH v2 (Using New SSH Library)|    - Command  : "lsmod | grep -q iptable_filter &amp;&amp; iptables -L -n -v -t filter"|      Response : "iptables v1.4.21: can't initialize iptables table `filter': Permission denied (you must be root)\nPerhaps iptables or your kernel needs to be upgraded."|      Error    : ""|    - Command  : "lsmod | grep -q _conntrack_ipv4 &amp;&amp; iptables -L -n -v -t nat"|      Response : "iptables v1.4.21: can't initialize iptables table `nat': Permission denied (you must be root)\nPerhaps iptables or your kernel needs to be upgraded."|      Error    : ""|    - Command  : "lsmod | grep -q iptable_mangle &amp;&amp; iptables -L -n -v -t mangle"|      Response : "iptables v1.4.21: can't initialize iptables table `mangle': Permission denied (you must be root)\nPerhaps iptables or your kernel needs to be upgraded."|      Error    : ""|  - Plugin Filename : unix_compliance_check.nbin|    Plugin ID       : 21157|    Plugin Name     : Unix Compliance Checks|    - Command  : "LANG=C; echo \"Iy9iaW4vYmFzaAogIHsKICAgbF9ncnViX3Bhc3N3b3JkX2ZpbGU9IiQoZmluZCAvYm9vdCAtdHlwZSBmIC1uYW1lICd1c2VyLmNmZycgISAtZW1wdHkpIgogICBpZiBbIC1mICIkbF9ncnViX3Bhc3N3b3JkX2ZpbGUiIF07IHRoZW4KICAgICAgYXdrIC1GLiAnL15ccypHUlVCMl9QQVNTV09SRD1cUysvIHtwcmludCAkMSIuIiQyIi4iJDN9JyAiJGxfZ3J1Yl9wYXNzd29yZF9maWxlIgogICBmaQogICB9\" | openssl base64 -d -A | bash|cat"|      Response : "find: '/boot/efi/EFI/redhat': Permission denied\nfind: '/boot/grub2': Permission denied"|      Error    : ""|    - Command  : "LANG=C; echo \"IyEvYmluL2Jhc2gKCnsKICAgbF9vdXRwdXQ9IiIgbF9vdXRwdXQyPSIiCiAgIGZpbGVfbXVnX2NoaygpCiAgIHsKICAgICAgbF9vdXQ9IiIgbF9vdXQyPSIiCiAgICAgIFtbICIkKGRpcm5hbWUgIiRsX2ZpbGUiKSIgPX4gXlwvYm9vdFwvZWZpXC9FRkkgXV0gJiYgbF9wbWFzaz0iMDA3NyIgfHwgbF9wbWFzaz0iMDE3NyIKICAgICAgbF9tYXhwZXJtPSIkKCBwcmludGYgJyVvJyAkKCggMDc3NyAmIH4kbF9wbWFzayApKSApIgogICAgICBpZiBbICQoKCAkbF9tb2RlICYgJGxfcG1hc2sgKSkgLWd0IDAgXTsgdGhlbgogICAgICAgICBsX291dDI9IiRsX291dDJcbiAgIC0gSXMgbW9kZSBcIiRsX21vZGVcIiBhbmQgc2hvdWxkIGJlIG1vZGU6IFwiJGxfbWF4cGVybVwiIG9yIG1vcmUgcmVzdHJpY3RpdmUiCiAgICAgIGVsc2UKICAgICAgICAgbF9vdXQ9IiRsX291dFxuICAgLSBJcyBjb3JyZWN0bHkgbW9kZTogXCIkbF9tb2RlXCIgd2hpY2ggaXMgbW9kZTogXCIkbF9tYXhwZXJtXCIgb3IgbW9yZSByZXN0cmljdGl2ZSIKICAgICAgZmkKICAgICAgaWYgWyAiJGxfdXNlciIgPSAicm9vdCIgXTsgdGhlbgogICAgICAgICBsX291dD0iJGxfb3V0XG4gICAtIElzIGNvcnJlY3RseSBvd25lZCBieSB1c2VyOiBcIiRsX3VzZXJcIiIKICAgICAgZWxzZQogICAgICAgICBsX291dDI9IiRsX291dDJcbiAgIC0gSXMgb3duZWQgYnkgdXNlcjogXCIkbF91c2VyXCIgYW5kIHNob3VsZCBiZSBvd25lZCBieSB1c2VyOiBcInJvb3RcIiIKICAgICAgZmkKICAgICAgaWYgWyAiJGxfZ3JvdXAiID0gInJvb3QiIF07IHRoZW4KICAgICAgICAgbF9vdXQ9IiRsX291dFxuICAgLSBJcyBjb3JyZWN0bHkgZ3JvdXAtb3duZWQgYnkgZ3JvdXA6IFwiJGxfdXNlclwiIgogICAgICBlbHNlCiAgICAgICAgIGxfb3V0Mj0iJGxfb3V0MlxuICAgLSBJcyBncm91cC1vd25lZCBieSBncm91cDogXCIkbF91c2VyXCIgYW5kIHNob3VsZCBiZSBncm91cC1vd25lZCBieSBncm91cDogXCJyb290XCIiCiAgICAgIGZpCiAgICAgIFsgLW4gIiRsX291dCIgXSAmJiBsX291dHB1dD0iJGxfb3V0cHV0XG4gIC0gRmlsZTogXCIkbF9maWxlXCIkbF9vdXRcbiIKICAgICAgWyAtbiAiJGxfb3V0MiIgXSAmJiBsX291dHB1dDI9IiRsX291dHB1dDJcbiAgLSBGaWxlOiBcIiRsX2ZpbGVcIiRsX291dDJcbiIKICAgfQogICB3aGlsZSBJRlM9IHJlYWQgLXIgLWQgJCdcMCcgbF9nZmlsZTsgZG8KICAgICAgd2hpbGUgcmVhZCAtciBsX2ZpbGUgbF9tb2RlIGxfdXNlciBsX2dyb3VwOyBkbwogICAgICAgICBmaWxlX211Z19jaGsKICAgICAgZG9uZSA8PDwgIiQoc3RhdCAtTGMgJyVuICUjYSAlVSAlRycgIiRsX2dmaWxlIikiCiAgIGRvbmUgPCA8KGZpbmQgL2Jvb3QgLXR5cGUgZiBcKCAtbmFtZSAnZ3J1YionIC1vIC1uYW1lICd1c2VyLmNmZycgXCkgLXByaW50MCkKICAgaWYgWyAteiAiJGxfb3V0cHV0MiIgXTsgdGhlbgogICAgICBlY2hvIC1lICJcbi0gQXVkaXQgUmVzdWx0OlxuICAqKiogUEFTUyAqKipcbi0gKiBDb3JyZWN0bHkgc2V0ICogOlxuJGxfb3V0cHV0XG4iCiAgIGVsc2UKICAgICAgZWNobyAtZSAiXG4tIEF1ZGl0IFJlc3VsdDpcbiAgKiogRkFJTCAqKlxuIC0gKiBSZWFzb25zIGZvciBhdWRpdCBmYWlsdXJlICogOlxuJGxfb3V0cHV0MlxuIgogICAgICBbIC1uICIkbF9vdXRwdXQiIF0gJiYgZWNobyAtZSAiIC0gKiBDb3JyZWN0bHkgc2V0ICogOlxuJGxfb3V0cHV0XG4iCiAgIGZpCn0=\" | openssl base64 -d -A | /bin/bash|cat"|      Response : "find: '/boot/efi/EFI/redhat': Permission denied\nfind: '/boot/grub2': Permission denied\n\n- Audit Result:\n  *** PASS ***\n- * Correctly set * :"|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aG9zdGJhc2VkYXV0aGVudGljYXRpb24pIjsgZG9uZSB8IC9iaW4vYXdrICdCRUdJTiB7Zj0wfSAvSG9zdGJhc2VkQXV0aGVudGljYXRpb24vaSB7IGlmICgkTkYgPT0gInllcyIpIGYrKzsgcHJpbnQgJDB9IEVORCB7aWYgKE5SID09IDApIHByaW50ICJGYWlsOiBubyByZXN1bHRzIHJldHVybmVkIjsgZWxzZSBpZiAoZiA+IDApIHByaW50ICJGYWlsIjsgZWxzZSBwcmludCAiUGFzcyIgfScKICB9\" | openssl base64 -d -A | /bin/bash|cat"|      Response : "/etc/ssh/sshd_config: Permission denied\nport 22: \nPass"|      Error    : ""|    - Command  : "LANG=C; cat '/etc/ssh/sshd_config'|cat"|      Response : "cat: /etc/ssh/sshd_config: Permission denied"|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aWdub3Jlcmhvc3RzKSI7IGRvbmUgfCAvYmluL2F3ayAnQkVHSU4ge2Y9MH0gL0lnbm9yZVJob3N0cy9pIHsgaWYgKCRORiA9PSAibm8iKSBmKys7IHByaW50ICQwfSBFTkQge2lmIChOUiA9PSAwKSBwcmludCAiRmFpbDogbm8gcmVzdWx0cyByZXR1cm5lZCI7IGVsc2UgaWYgKGYgPiAwKSBwcmludCAiRmFpbCI7IGVsc2UgcHJpbnQgIlBhc3MiIH0nCiAgfQ==\"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a2V4YWxnb3JpdGhtcykiOyBkb25lIHwgL2Jpbi9hd2sgJ0JFR0lOIHtmPTB9IC9rZXhhbGdvcml0aG1zL2kgeyBpZiAoJE5GIH4gIihkaWZmaWUtaGVsbG1hbi1ncm91cDEtc2hhMXxkaWZmaWUtaGVsbG1hbi1ncm91cDE0LXNoYTF8ZGlmZmllLWhlbGxtYW4tZ3JvdXAtZXhjaGFuZ2Utc2hhMSkiKSBmKys7IHByaW50ICQwfSBFTkQge2lmIChOUiA9PSAwKSBwcmludCAiRmFpbDogbm8gcmVzdWx0cyByZXR1cm5lZCI7IGVsc2UgaWYgKGYgPiAwKSBwcmludCAiRmFpbCI7IGVsc2UgcHJpbnQgIlBhc3MiIH0nCiAgfQ==\"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bG9naW5ncmFjZXRpbWUpIjsgZG9uZSB8IC9iaW4vYXdrICdCRUdJTiB7Zj0wfSAvbG9naW5ncmFjZXRpbWUvaSB7IGlmICgkTkYgIX4gL14oWzEtOV18WzEtNV1bMC05XXw2MHwxbSkkLykgZisrOyBwcmludCAkMH0gRU5EIHtpZiAoTlIgPT0gMCkgcHJpbnQgIkZhaWw6IG5vIHJlc3VsdHMgcmV0dXJuZWQiOyBlbHNlIGlmIChmID4gMCkgcHJpbnQgIkZhaWwiOyBlbHNlIHByaW50ICJQYXNzIiB9JwogIH0=\"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sb2dsZXZlbCkiOyBkb25lIHwgL2Jpbi9hd2sgJ0JFR0lOIHtmPTB9IC9Mb2dMZXZlbC9pIHsgaWYgKCRORiAhfiAvXihJTkZPfFZFUkJPU0UpJC8pIGYrKzsgcHJpbnQgJDB9IEVORCB7aWYgKE5SID09IDApIHByaW50ICJGYWlsOiBubyByZXN1bHRzIHJldHVybmVkIjsgZWxzZSBpZiAoZiA+IDApIHByaW50ICJGYWlsIjsgZWxzZSBwcmludCAiUGFzcyIgfScKICB9\" | openssl base64 -d -A | /bin/bash|cat"|      Response : "/etc/ssh/sshd_config: Permission denied\nport 22: \nFail"|      Error    : ""|    - Command  : "LANG=C; echo \"IyEvYmluL2Jhc2gKewpwb3J0cz0kKC9iaW4vZ3JlcCAtcyAtUCAiXihQb3J0fE1hdGNoKSIgL2V0Yy9zc2gvc3NoZF9jb25maWcgL2V0Yy9zc2hkX2NvbmZpZy5kLyouY29uZiB8IC9iaW4vZ3JlcCAtUCAtbyAiKFBvcnR8TG9jYWxQb3J0KVtcc10rW1xkXSsiIHwgL2Jpbi9hd2sgJ3twcmludCAkMn07IEVORCB7aWYgKE5SID09IDApIHByaW50ICIyMiJ9JyB8IC9iaW4vdW5pcSk7IGZvciBwb3J0IGluICR7cG9ydHNbQF19OyBkbyAvc2Jpbi9zc2hkIC1UIC1DIHVzZXI9cm9vdCAtQyBob3N0PSIkKGhvc3RuYW1lKSIgLUMgYWRkcj0iJCgvYmluL2dyZXAgJChob3N0bmFtZSkgL2V0Yy9ob3N0cyB8IC9iaW4vYXdrICd7cHJpbnQgJDF9JykiIC1DIGxwb3J0PSRwb3J0IHwgZWNobyAicG9ydCAkcG9ydDogJCgvYmluL2dyZXAgLUVpICdebWFjc1xzJykiOyBkb25lIHwgL2Jpbi9hd2sgJ0JFR0lOIHtmPTB9IC9cc21hY3Nccy9pIHsgaWYgKCRORiB+ICIoaG1hYy1tZDV8aG1hYy1tZDUtOTZ8aG1hYy1yaXBlbWQxNjB8aG1hYy1zaGExLTk2fHVtYWMtNjRAb3BlbnNzaC5jb218aG1hYy1tZDUtZXRtQG9wZW5zc2guY29tfGhtYWMtbWQ1LTk2LWV0bUBvcGVuc3NoLmNvbXxobWFjLXJpcGVtZDE2MC1ldG1Ab3BlbnNzaC5jb218aG1hYy1zaGExLTk2LWV0bUBvcGVuc3NoLmNvbXx1bWFjLTY0LWV0bUBvcGVuc3NoLmNvbSkiKSBmKys7IHByaW50ICQwfSBFTkQge2lmIChOUiA9PSAwKSBwcmludCAiRmFpbDogbm8gcmVzdWx0cyByZXR1cm5lZCI7IGVsc2UgaWYgKGYgPiAwKSBwcmludCAiRmFpbCI7IGVsc2UgcHJpbnQgIlBhc3MiIH0nCn0=\"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bWF4YXV0aHRyaWVzKSI7IGRvbmUgfCAvYmluL2F3ayAnQkVHSU4ge2Y9MH0gL21heGF1dGh0cmllcy9pIHsgaWYgKCRORiAhfiAvXlswLTRdJC8pIGYrKzsgcHJpbnQgJDB9IEVORCB7aWYgKE5SID09IDApIHByaW50ICJGYWlsOiBubyByZXN1bHRzIHJldHVybmVkIjsgZWxzZSBpZiAoZiA+IDApIHByaW50ICJGYWlsIjsgZWxzZSBwcmludCAiUGFzcyIgfScKICB9\"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bWF4c2Vzc2lvbnMpIjsgZG9uZSB8IC9iaW4vYXdrICdCRUdJTiB7Zj0wfSAvbWF4c2Vzc2lvbnMvaSB7IGlmICgkTkYgIX4gL14oWzAtOV18MTApJC8pIGYrKzsgcHJpbnQgJDB9IEVORCB7aWYgKE5SID09IDApIHByaW50ICJGYWlsOiBubyByZXN1bHRzIHJldHVybmVkIjsgZWxzZSBpZiAoZiA+IDApIHByaW50ICJGYWlsIjsgZWxzZSBwcmludCAiUGFzcyIgfScKICB9\"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bWF4c3RhcnR1cHMpIjsgZG9uZSB8IC9iaW4vYXdrICdCRUdJTiB7Zj0wfSAvbWF4c3RhcnR1cHMvaSB7IGlmICgkTkYgIX4gL14oWzEtOV18MTApOihbMS05XXxbMTJdWzAtOV18MzApOihbMS05XXxbMS01XVswLTldfDYwKSQvKSBmKys7IHByaW50ICQwfSBFTkQge2lmIChOUiA9PSAwKSBwcmludCAiRmFpbDogbm8gcmVzdWx0cyByZXR1cm5lZCI7IGVsc2UgaWYgKGYgPiAwKSBwcmludCAiRmFpbCI7IGVsc2UgcHJpbnQgIlBhc3MiIH0nCiAgfQ==\"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UGVybWl0RW1wdHlQYXNzd29yZHMpIjsgZG9uZSB8IC9iaW4vYXdrICdCRUdJTiB7Zj0wfSAvUGVybWl0RW1wdHlQYXNzd29yZHMvaSB7IGlmICgkTkYgPT0gInllcyIpIGYrKzsgcHJpbnQgJDB9IEVORCB7aWYgKE5SID09IDApIHByaW50ICJGYWlsOiBubyByZXN1bHRzIHJldHVybmVkIjsgZWxzZSBpZiAoZiA+IDApIHByaW50ICJGYWlsIjsgZWxzZSBwcmludCAiUGFzcyIgfScKICB9\"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cGVybWl0cm9vdGxvZ2luKSI7IGRvbmUgfCAvYmluL2F3ayAnQkVHSU4ge2Y9MH0gL3Blcm1pdHJvb3Rsb2dpbi9pIHsgaWYgKCRORiA9PSAieWVzIikgZisrOyBwcmludCAkMH0gRU5EIHtpZiAoTlIgPT0gMCkgcHJpbnQgIkZhaWw6IG5vIHJlc3VsdHMgcmV0dXJuZWQiOyBlbHNlIGlmIChmID4gMCkgcHJpbnQgIkZhaWwiOyBlbHNlIHByaW50ICJQYXNzIn0nCiAgfQ==\"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UGVybWl0RW1wdHlQYXNzd29yZHMpIjsgZG9uZSB8IC9iaW4vYXdrICdCRUdJTiB7Zj0wfSAvUGVybWl0RW1wdHlQYXNzd29yZHMvaSB7IGlmICgkTkYgPT0gInllcyIpIGYrKzsgcHJpbnQgJDB9IEVORCB7aWYgKE5SID09IDApIHByaW50ICJGYWlsOiBubyByZXN1bHRzIHJldHVybmVkIjsgZWxzZSBpZiAoZiA+IDApIHByaW50ICJGYWlsIjsgZWxzZSBwcmludCAiUGFzcyIgfScKICB9\"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dXNlcGFtKSI7IGRvbmUgfCAvYmluL2F3ayAnQkVHSU4ge2Y9MH0gL3VzZXBhbS9pIHsgaWYgKCRORiA9PSAibm8iKSBmKys7IHByaW50ICQwfSBFTkQge2lmIChOUiA9PSAwKSBwcmludCAiRmFpbDogbm8gcmVzdWx0cyByZXR1cm5lZCI7IGVsc2UgaWYgKGYgPiAwKSBwcmludCAiRmFpbCI7IGVsc2UgcHJpbnQgIlBhc3MiIH0nCiAgfQ==\" | openssl base64 -d -A | /bin/bash|cat"|      Response : "/etc/ssh/sshd_config: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UGkgJ15caCooYWxsb3d8ZGVueSkodXNlcnN8Z3JvdXBzKVxoK1xIKyhcaCsuKik/JCcpIjsgZG9uZSB8IC9iaW4vYXdrICdCRUdJTiB7Zj0wfSAvKGFsbG93fGRlbnkpKHVzZXJzfGdyb3VwcykvaSB7IGlmICgkTkYgfiAiOiIpIGYrKzsgcHJpbnQgJDB9IEVORCB7aWYgKE5SID09IDApIHByaW50ICJGYWlsOiBubyByZXN1bHRzIHJldHVybmVkIjsgZWxzZSBpZiAoZiA+IDApIHByaW50ICJGYWlsIjsgZWxzZSBwcmludCAiUGFzcyJ9JwogIH0=\"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YmFubmVyKSI7IGRvbmUgfCAvYmluL2F3ayAnQkVHSU4ge2Y9MH0gL2Jhbm5lci9pIHsgaWYgKCRORiAhPSAiL2V0Yy9pc3N1ZS5uZXQiKSBmKys7IHByaW50ICQwfSBFTkQge2lmIChOUiA9PSAwKSBwcmludCAiRmFpbDogbm8gcmVzdWx0cyByZXR1cm5lZCI7IGVsc2UgaWYgKGYgPiAwKSBwcmludCAiRmFpbCI7IGVsc2UgcHJpbnQgIlBhc3MiIH0nCiAgfQ==\"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Y2lwaGVycykiOyBkb25lIHwgL2Jpbi9hd2sgJ0JFR0lOIHtmPTB9IC9jaXBoZXJzL2kgeyBpZiAoJE5GIH4gIigzZGVzfGJsb3dmaXNofGNhc3QxMjh8YWVzKDEyOHwxOTJ8MjU2KSktY2JjfGFyY2ZvdXIoMTI4fDI1Nik/fHJpam5kYWVsLWNiY0BseXNhdG9yXC5saXVcLnNlKSIpIGYrKzsgcHJpbnQgJDB9IEVORCB7aWYgKE5SID09IDApIHByaW50ICJGYWlsOiBubyByZXN1bHRzIHJldHVybmVkIjsgZWxzZSBpZiAoZiA+IDApIHByaW50ICJGYWlsIjsgZWxzZSBwcmludCAiUGFzcyIgfScKICB9\" | openssl base64 -d -A | /bin/bash|cat"|      Response : "awk: cmd. line:1: warning: escape sequence `\\.' treated as plain `.'\n/etc/ssh/sshd_config: Permission denied\nport 22: \nPass"|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Y2xpZW50YWxpdmVjb3VudG1heCkiOyBkb25lIHwgL2Jpbi9hd2sgJ0JFR0lOIHtmPTB9IC9jbGllbnRhbGl2ZWNvdW50bWF4L2kgeyBpZiAoJE5GICF+IC9eWzEtOV1bMC05XSokLykgZisrOyBwcmludCAkMH0gRU5EIHtpZiAoTlIgPT0gMCkgcHJpbnQgIkZhaWw6IG5vIHJlc3VsdHMgcmV0dXJuZWQiOyBlbHNlIGlmIChmID4gMCkgcHJpbnQgIkZhaWwiOyBlbHNlIHByaW50ICJQYXNzIiB9JwogIH0=\" | openssl base64 -d -A | /bin/bash|cat"|      Response : "/etc/ssh/sshd_config: Permission denied\nport 22: \nFail"|      Error    : ""|    - Command  : "LANG=C; echo \"IyEvYmluL2Jhc2gKICB7CiAgcG9ydHM9JCgvYmluL2dyZXAgLXMgLVAgIl4oUG9ydHxNYXRjaCkiIC9ldGMvc3NoL3NzaGRfY29uZmlnIC9ldGMvc3NoL3NzaGRfY29uZmlnLmQvKi5jb25mIHwgL2Jpbi9ncmVwIC1QIC1vICIoUG9ydHxMb2NhbFBvcnQpW1xzXStbXGRdKyIgfCAvYmluL2F3ayAne3ByaW50ICQyfTsgRU5EIHtpZiAoTlIgPT0gMCkgcHJpbnQgIjIyIn0nIHwgL2Jpbi91bmlxKTsgZm9yIHBvcnQgaW4gJHtwb3J0c1tAXX07IGRvIC9zYmluL3NzaGQgLVQgLUMgdXNlcj1yb290IC1DIGhvc3Q9IiQoaG9zdG5hbWUpIiAtQyBhZGRyPSIkKC9iaW4vZ3JlcCAkKGhvc3RuYW1lKSAvZXRjL2hvc3RzIHwgL2Jpbi9hd2sgJ3twcmludCAkMX0nKSIgLUMgbHBvcnQ9JHBvcnQgfCBlY2hvICJwb3J0ICRwb3J0OiAkKC9iaW4vZ3JlcCAtaSBeY2xpZW50YWxpdmVpbnRlcnZhbCkiOyBkb25lIHwgL2Jpbi9hd2sgJ0JFR0lOIHtmPTB9IC9jbGllbnRhbGl2ZWludGVydmFsL2kgeyBpZiAoJE5GICF+IC9eWzEtOV1bMC05XSokLykgZisrOyBwcmludCAkMH0gRU5EIHtpZiAoTlIgPT0gMCkgcHJpbnQgIkZhaWw6IG5vIHJlc3VsdHMgcmV0dXJuZWQiOyBlbHNlIGlmIChmID4gMCkgcHJpbnQgIkZhaWwiOyBlbHNlIHByaW50ICJQYXNzIiB9JwogIH0=\" | openssl base64 -d -A | /bin/bash|cat"|      Response : "/etc/ssh/sshd_config: Permission denied\nport 22: \nFail"|      Error    : ""|    - Command  : "LANG=C; /bin/grep -rPi '^\\h*Defaults\\h+([^#\\n\\r]+ )?use_pty( \\h*\\h+\\h*)*\\h*(#.*)?$' /etc/sudoers* | /bin/awk '{print} END {if (NR != 0) print \"pass\" ; else print \"fail\"}'|cat"|      Response : "/bin/grep: /etc/sudoers: Permission denied\n/bin/grep: /etc/sudoers.d: Permission denied\n/bin/grep: /etc/sudoers.d.backup.20251111_125948: Permission denied\nfail"|      Error    : ""|    - Command  : "LANG=C; cat '/etc/sudoers'|cat"|      Response : "cat: /etc/sudoers: Permission denied"|      Error    : ""|    - Command  : "LANG=C; cat '/etc/pam.d/system-auth'|cat"|      Response : "cat: /etc/pam.d/system-auth: Permission denied"|      Error    : ""|    - Command  : "LANG=C; cat '/etc/pam.d/password-auth'|cat"|      Response : "cat: /etc/pam.d/password-auth: Permission denied"|      Error    : ""|    - Command  : "LANG=C; cat '/etc/shadow'|cat"|      Response : "cat: /etc/shadow: Permission denied"|      Error    : ""|    - Command  : "LANG=C; echo \"IyEvYmluL2Jhc2gKICB7CiAgIHdoaWxlIElGUz0gcmVhZCAtciBsX3VzZXI7IGRvCiAgICAgIGxfY2hhbmdlPSQoZGF0ZSAtZCAiJChjaGFnZSAtLWxpc3QgJGxfdXNlciB8IGdyZXAgJ15MYXN0IHBhc3N3b3JkIGNoYW5nZScgfCBjdXQgLWQ6IC1mMiB8IGdyZXAgLXYgJ25ldmVyJCcpIiArJXMpCiAgICAgIGlmIFtbICIkbF9jaGFuZ2UiIC1ndCAiJChkYXRlICslcykiIF1dOyB0aGVuCiAgICAgICAgIGVjaG8gIlVzZXI6IFwiJGxfdXNlclwiIGxhc3QgcGFzc3dvcmQgY2hhbmdlIHdhcyBcIiQoY2hhZ2UgLS1saXN0ICRsX3VzZXIgfCBncmVwICdeTGFzdCBwYXNzd29yZCBjaGFuZ2UnIHwgY3V0IC1kOiAtZjIpXCIiCiAgICAgIGZpCiAgIGRvbmUgPCA8KGF3ayAtRjogJy9eW146XHJdKzpbXiEqeFhccl0ve3ByaW50ICQxfScgL2V0Yy9zaGFkb3cpCn0gfCAvYmluL2F3ayAne3ByaW50fSBFTkQge2lmIChOUiA9PSAwKSBwcmludCAiUGFzcyJ9Jw==\" | openssl base64 -d -A | /bin/bash|cat"|      Response : "awk: fatal: cannot open file `/etc/shadow' for reading (Permission denied)\nPass"|      Error    : ""|    - Command  : "LANG=C; echo \"IyEvYmluL2Jhc2gKCnsKICAgbF9vcDI9IiIgbF9vdXRwdXQyPSIiCiAgIGxfdWlkbWluPSIkKGF3ayAnL15ccypVSURfTUlOL3twcmludCAkMn0nIC9ldGMvbG9naW4uZGVmcykiCiAgIGZpbGVfdGVzdF9jaGsoKQogICB7CiAgICAgIGxfb3AyPSIiCiAgICAgIGlmIFsgJCgoICRsX21vZGUgJiAkcGVybV9tYXNrICkpIC1ndCAwIF07IHRoZW4KICAgICAgICAgbF9vcDI9IiRsX29wMgogIC0gTW9kZTogXCIkbF9tb2RlXCIgc2hvdWxkIGJlIFwiJG1heHBlcm1cIiBvciBtb3JlIHJlc3RyaWN0aXZlIgogICAgICBmaQogICAgICBpZiBbWyAhICIkbF91c2VyIiA9fiAkbF9hdXNlciBdXTsgdGhlbgogICAgICAgICBsX29wMj0iJGxfb3AyCiAgLSBPd25lZCBieTogXCIkbF91c2VyXCIgYW5kIHNob3VsZCBiZSBvd25lZCBieSBcIiR7bF9hdXNlci8vfC8gb3IgfVwiIgogICAgICBmaQogICAgICBpZiBbWyAhICIkbF9ncm91cCIgPX4gJGxfYWdyb3VwIF1dOyB0aGVuCiAgICAgICAgIGxfb3AyPSIkbF9vcDIKICAtIEdyb3VwIG93bmVkIGJ5OiBcIiRsX2dyb3VwXCIgYW5kIHNob3VsZCBiZSBncm91cCBvd25lZCBieSBcIiR7bF9hZ3JvdXAvL3wvIG9yIH1cIiIKICAgICAgZmkKICAgICAgWyAtbiAiJGxfb3AyIiBdICYmIGxfb3V0cHV0Mj0iJGxfb3V0cHV0MgogLSBGaWxlOiBcIiRsX2ZuYW1lXCIgaXM6JGxfb3AyCiIKICAgfQogICB1bnNldCBhX2ZpbGUgJiYgYV9maWxlPSgpICMgY2xlYXIgYW5kIGluaXRpYWxpemUgYXJyYXkKICAgIyBMb29wIHRvIGNyZWF0ZSBhcnJheSB3aXRoIHN0YXQgb2YgZmlsZXMgdGhhdCBjb3VsZCBwb3NzaWJseSBmYWlsIG9uZSBvZiB0aGUgYXVkaXRzCiAgIHdoaWxlIElGUz0gcmVhZCAtciAtZCAkJ1wwJyBsX2ZpbGU7IGRvCiAgICAgIFsgLWUgIiRsX2ZpbGUiIF0gJiYgYV9maWxlKz0oIiQoc3RhdCAtTGMgJyVuXiUjYV4lVV4ldV4lR14lZycgIiRsX2ZpbGUiKSIpCiAgIGRvbmUgPCA8KGZpbmQgLUwgL3Zhci9sb2cgLXR5cGUgZiBcKCAtcGVybSAvMDEzNyAtbyAhIC11c2VyIHJvb3QgLW8gISAtZ3JvdXAgcm9vdCBcKSAtcHJpbnQwKQogICB3aGlsZSBJRlM9Il4iIHJlYWQgLXIgbF9mbmFtZSBsX21vZGUgbF91c2VyIGxfdWlkIGxfZ3JvdXAgbF9naWQ7IGRvCiAgICAgIGxfYm5hbWU9IiQoYmFzZW5hbWUgIiRsX2ZuYW1lIikiCiAgICAgIGNhc2UgIiRsX2JuYW1lIiBpbgogICAgICAgICBsYXN0bG9nIHwgbGFzdGxvZy4qIHwgd3RtcCB8IHd0bXAuKiB8IHd0bXAtKiB8IGJ0bXAgfCBidG1wLiogfCBidG1wLSogfCBSRUFETUUpCiAgICAgICAgICAgIHBlcm1fbWFzaz0nMDExMycKICAgICAgICAgICAgbWF4cGVybT0iJCggcHJpbnRmICclbycgJCgoIDA3NzcgJiB+JHBlcm1fbWFzaykpICkiCiAgICAgICAgICAgIGxfYXVzZXI9InJvb3QiCiAgICAgICAgICAgIGxfYWdyb3VwPSIocm9vdHx1dG1wKSIKICAgICAgICAgICAgZmlsZV90ZXN0X2NoawogICAgICAgICAgICA7OwogICAgICAgICBzZWN1cmUgfCBhdXRoLmxvZyB8IHN5c2xvZyB8IG1lc3NhZ2VzKQogICAgICAgICAgICBwZXJtX21hc2s9JzAxMzcnCiAgICAgICAgICAgIG1heHBlcm09IiQoIHByaW50ZiAnJW8nICQoKCAwNzc3ICYgfiRwZXJtX21hc2spKSApIgogICAgICAgICAgICBsX2F1c2VyPSIocm9vdHxzeXNsb2cpIgogICAgICAgICAgICBsX2Fncm91cD0iKHJvb3R8YWRtKSIKICAgICAgICAgICAgZmlsZV90ZXN0X2NoawogICAgICAgICAgICA7OwogICAgICAgICBTU1NEIHwgc3NzZCkKICAgICAgICAgICAgcGVybV9tYXNrPScwMTE3JwogICAgICAgICAgICBtYXhwZXJtPSIkKCBwcmludGYgJyVvJyAkKCggMDc3NyAmIH4kcGVybV9tYXNrKSkgKSIKICAgICAgICAgICAgbF9hdXNlcj0iKHJvb3R8U1NTRCkiCiAgICAgICAgICAgIGxfYWdyb3VwPSIocm9vdHxTU1NEKSIKICAgICAgICAgICAgZmlsZV90ZXN0X2NoawogICAgICAgICAgICA7OwogICAgICAgICBnZG0gfCBnZG0zKQogICAgICAgICAgICBwZXJtX21hc2s9JzAxMTcnCiAgICAgICAgICAgIG1heHBlcm09IiQoIHByaW50ZiAnJW8nICQoKCAwNzc3ICYgfiRwZXJtX21hc2spKSApIgogICAgICAgICAgICBsX2F1c2VyPSJyb290IgogICAgICAgICAgICBsX2Fncm91cD0iKHJvb3R8Z2RtfGdkbTMpIgogICAgICAgICAgICBmaWxlX3Rlc3RfY2hrCiAgICAgICAgICAgIDs7CiAgICAgICAgICouam91cm5hbCB8ICouam91cm5hbH4pCiAgICAgICAgICAgIHBlcm1fbWFzaz0nMDEzNycKICAgICAgICAgICAgbWF4cGVybT0iJCggcHJpbnRmICclbycgJCgoIDA3NzcgJiB+JHBlcm1fbWFzaykpICkiCiAgICAgICAgICAgIGxfYXVzZXI9InJvb3QiCiAgICAgICAgICAgIGxfYWdyb3VwPSIocm9vdHxzeXN0ZW1kLWpvdXJuYWwpIgogICAgICAgICAgICBmaWxlX3Rlc3RfY2hrCiAgICAgICAgICAgIDs7CiAgICAgICAgICopCiAgICAgICAgICAgIHBlcm1fbWFzaz0nMDEzNycKICAgICAgICAgICAgbWF4cGVybT0iJCggcHJpbnRmICclbycgJCgoIDA3NzcgJiB+JHBlcm1fbWFzaykpICkiCiAgICAgICAgICAgIGxfYXVzZXI9Iihyb290fHN5c2xvZykiCiAgICAgICAgICAgIGxfYWdyb3VwPSIocm9vdHxhZG0pIgogICAgICAgICAgICBpZiBbICIkbF91aWQiIC1sdCAiJGxfdWlkbWluIiBdICYmIFsgLXogIiQoYXdrIC12IGdycD0iJGxfZ3JvdXAiIC1GOiAnJDE9PWdycCB7cHJpbnQgJDR9JyAvZXRjL2dyb3VwKSIgXTsgdGhlbgogICAgICAgICAgICAgICBpZiBbWyAhICIkbF91c2VyIiA9fiAkbF9hdXNlciBdXTsgdGhlbgogICAgICAgICAgICAgICAgICBsX2F1c2VyPSIocm9vdHxzeXNsb2d8JGxfdXNlcikiCiAgICAgICAgICAgICAgIGZpCiAgICAgICAgICAgICAgIGlmIFtbICEgIiRsX2dyb3VwIiA9fiAkbF9hZ3JvdXAgXV07IHRoZW4KICAgICAgICAgICAgICAgICAgbF90c3Q9IiIKICAgICAgICAgICAgICAgICAgd2hpbGUgbF9vdXQzPSIiIHJlYWQgLXIgbF9kdWlkOyBkbwogICAgICAgICAgICAgICAgICAgICBbICIkbF9kdWlkIiAtZ2UgIiRsX3VpZG1pbiIgXSAmJiBsX3RzdD1mYWlsZWQKICAgICAgICAgICAgICAgICAgZG9uZSA8PDwgIiQoYXdrIC1GOiAnJDQ9PSciJGxfZ2lkIicge3ByaW50ICQzfScgL2V0Yy9wYXNzd2QpIgogICAgICAgICAgICAgICAgICBbICIkbF90c3QiICE9ICJmYWlsZWQiIF0gJiYgbF9hZ3JvdXA9Iihyb290fGFkbXwkbF9ncm91cCkiCiAgICAgICAgICAgICAgIGZpCiAgICAgICAgICAgIGZpCiAgICAgICAgICAgIGZpbGVfdGVzdF9jaGsKICAgICAgICAgICAgOzsKICAgICAgZXNhYwogICBkb25lIDw8PCAiJChwcmludGYgJyVzCicgIiR7YV9maWxlW0BdfSIpIgogICB1bnNldCBhX2ZpbGUgIyBDbGVhciBhcnJheQogICAjIElmIGFsbCBmaWxlcyBwYXNzZWQsIHRoZW4gd2UgcGFzcwogICBpZiBbIC16ICIkbF9vdXRwdXQyIiBdOyB0aGVuCiAgICAgIGVjaG8gLWUgIgotIEF1ZGl0IFJlc3VsdHM6CiAqKiBQYXNzICoqCi0gQWxsIGZpbGVzIGluIFwiL3Zhci9sb2cvXCIgaGF2ZSBhcHByb3ByaWF0ZSBwZXJtaXNzaW9ucyBhbmQgb3duZXJzaGlwCiIKICAgZWxzZQogICAgICAjIHByaW50IHRoZSByZWFzb24gd2h5IHdlIGFyZSBmYWlsaW5nCiAgICAgIGVjaG8gLWUgIgotIEF1ZGl0IFJlc3VsdHM6CiAqKiBGYWlsICoqCiRsX291dHB1dDIiCiAgIGZpCn0=\" | openssl base64 -d -A | /bin/bash|cat"|      Response : "find: '/var/log/audit.old.backup.3810': Permission denied\nfind: '/var/log/audit': Permission denied\n\n- Audit Results:\n ** Fail **\n\n - File: \"/var/log/dmesg\" is:\n  - Mode: \"0644\" should be \"640\" or more restrictive"|      Error    : ""|    - Command  : "LANG=C; cat '/etc/cron.allow'|cat"|      Response : "cat: /etc/cron.allow: Permission denied"|      Error    : ""|    - Command  : "LANG=C; cat '/etc/cron.d'|cat"|      Response : "cat: /etc/cron.d: Permission denied"|      Error    : ""|    - Command  : "LANG=C; cat '/etc/cron.daily'|cat"|      Response : "cat: /etc/cron.daily: Permission denied"|      Error    : ""|    - Command  : "LANG=C; cat '/etc/cron.deny'|cat"|      Response : "cat: /etc/cron.deny: Permission denied"|      Error    : ""|    - Command  : "LANG=C; cat '/etc/cron.hourly'|cat"|      Response : "cat: /etc/cron.hourly: Permission denied"|      Error    : ""|    - Command  : "LANG=C; cat '/etc/cron.monthly'|cat"|      Response : "cat: /etc/cron.monthly: Permission denied"|      Error    : ""|    - Command  : "LANG=C; cat '/etc/cron.weekly'|cat"|      Response : "cat: /etc/cron.weekly: Permission denied"|      Error    : ""|    - Command  : "LANG=C; cat '/etc/crontab'|cat"|      Response : "cat: /etc/crontab: Permission denied"|      Error    : ""|    - Command  : "LANG=C; echo \"IyEvYmluL2Jhc2gKCnsKICAgbF9vdXRwdXQ9IiIgbF9vdXRwdXQyPSIiIGxfb3V0cHV0Mz0iIgogICBsX2JmPSIiIGxfZGY9IiIgbF9uZj0iIiBsX2hmPSIiCiAgIGxfdmFsaWRfc2hlbGxzPSJeKCQoIGF3ayAtRlwvICckTkYgIT0gIm5vbG9naW4iIHtwcmludH0nIC9ldGMvc2hlbGxzIHwgc2VkIC1ybiAnL15cLy97cywvLFxcXFwvLGc7cH0nIHwgcGFzdGUgLXMgLWQgJ3wnIC0gKSkkIgogICB1bnNldCBhX3VhcnIgJiYgYV91YXJyPSgpICMgQ2xlYXIgYW5kIGluaXRpYWxpemUgYXJyYXkKICAgd2hpbGUgcmVhZCAtciBsX2VwdSBsX2VwaDsgZG8gIyBQb3B1bGF0ZSBhcnJheSB3aXRoIHVzZXJzIGFuZCB1c2VyIGhvbWUgbG9jYXRpb24KICAgICAgW1sgLW4gIiRsX2VwdSIgJiYgLW4gIiRsX2VwaCIgXV0gJiYgYV91YXJyKz0oIiRsX2VwdSAkbF9lcGgiKQogICBkb25lIDw8PCAiJChhd2sgLXYgcGF0PSIkbF92YWxpZF9zaGVsbHMiIC1GOiAnJChORikgfiBwYXQgeyBwcmludCAkMSAiICIgJChORi0xKSB9JyAvZXRjL3Bhc3N3ZCkiCiAgIGxfYXNpemU9IiR7I2FfdWFycltAXX0iICMgSGVyZSBpZiB3ZSB3YW50IHRvIGxvb2sgYXQgbnVtYmVyIG9mIHVzZXJzIGJlZm9yZSBwcm9jZWVkaW5nCiAgIGxfbWF4c2l6ZT0iMTAwMCIgIyBNYXhpbXVuIG51bWJlciBvZiBsb2NhbCBpbnRl</t>
  </si>
  <si>
    <t>Nessus Scan Information</t>
  </si>
  <si>
    <t>Information about this scan : ||Nessus version : 10.10.1|Nessus build : 20010|Plugin feed version : 202511110033|Scanner edition used : Nessus|Scanner OS : WINDOWS|Scanner distribution : win-x86-64|Scan type : Normal|Scan name : Teste - Oracle Linux|Scan policy used : Policy Compliance Auditing|Scanner IP : 192.168.0.23|Port scanner(s) : netstat |Port range : default|Ping RTT : 282.402 ms|Thorough tests : no|Experimental tests : no|Scan for Unpatched Vulnerabilities : no|Plugin debugging enabled : no|Paranoia level : 1|Report verbosity : 1|Safe checks : yes|Optimize the test : yes|Credentialed checks : yes  as 'master' via ssh|Attempt Least Privilege : no|Patch management checks : None|Display superseded patches : yes (supersedence plugin did not launch)|CGI scanning : disabled|Web application tests : disabled|Max hosts : 30|Max checks : 4|Recv timeout : 5|Backports : None|Allow post-scan editing : Yes|Nessus Plugin Signature Checking : Enabled|Audit File Signature Checking : Disabled|Scan Start Date : 2025/11/11 13:10 E. South America Standard Time (UTC -03:00)|Scan duration : 494 sec|Scan for malware : no|</t>
  </si>
  <si>
    <t>General</t>
  </si>
  <si>
    <t>Device Hostname</t>
  </si>
  <si>
    <t>|  Hostname : ol7-vm|    ol7-vm (hostname command)</t>
  </si>
  <si>
    <t>Enumerate MAC Addresses via SSH</t>
  </si>
  <si>
    <t>|The following MAC address exists on the remote host :||  - 00:0c:29:3c:8a:36 (interface ens33)|</t>
  </si>
  <si>
    <t>Enumerate IPv4 Interfaces via SSH</t>
  </si>
  <si>
    <t>|The following IPv4 addresses are set on the remote host :|| - 127.0.0.1 (on interface lo)| - 192.168.0.75 (on interface ens33)|</t>
  </si>
  <si>
    <t>Enumerate IPv6 Interfaces via SSH</t>
  </si>
  <si>
    <t>|The following IPv6 interfaces are set on the remote host :|| - ::1 (on interface lo)| - fe80::edd3:b2e3:b0e3:cb8b (on interface ens33)|</t>
  </si>
  <si>
    <t>Port scanners</t>
  </si>
  <si>
    <t>Netstat Portscanner (SSH)</t>
  </si>
  <si>
    <t>Port 22/tcp was found to be open</t>
  </si>
  <si>
    <t>udp</t>
  </si>
  <si>
    <t>Port 68/udp was found to be open</t>
  </si>
  <si>
    <t>Operating System</t>
  </si>
  <si>
    <t>System Type</t>
  </si>
  <si>
    <t>Scan Start</t>
  </si>
  <si>
    <t>Scan End</t>
  </si>
  <si>
    <t>Scan Duration</t>
  </si>
  <si>
    <t>Experimental Tests</t>
  </si>
  <si>
    <t>Credentialed Checks</t>
  </si>
  <si>
    <t>Patch Management Checks</t>
  </si>
  <si>
    <t>Safe Checks</t>
  </si>
  <si>
    <t>CGI Scanning</t>
  </si>
  <si>
    <t>We Application Tests</t>
  </si>
  <si>
    <t>Paranoia level</t>
  </si>
  <si>
    <t>Thorough tests</t>
  </si>
  <si>
    <t>Linux Kernel 4.14.35-2047.543.3.1.el7uek.x86_64 on Oracle Linux Server release 7.9</t>
  </si>
  <si>
    <t>general-purpose</t>
  </si>
  <si>
    <t>Tue Nov 11 13:09:52 2025</t>
  </si>
  <si>
    <t>Tue Nov 11 13:18:28 2025</t>
  </si>
  <si>
    <t xml:space="preserve"> 494 sec</t>
  </si>
  <si>
    <t xml:space="preserve"> no</t>
  </si>
  <si>
    <t xml:space="preserve"> yes  as 'master' via ssh</t>
  </si>
  <si>
    <t xml:space="preserve"> None</t>
  </si>
  <si>
    <t xml:space="preserve"> yes</t>
  </si>
  <si>
    <t xml:space="preserve"> disabled</t>
  </si>
  <si>
    <t xml:space="preserve"> 1</t>
  </si>
  <si>
    <t>Host IP Address</t>
  </si>
  <si>
    <t>Total</t>
  </si>
  <si>
    <t>Base Total</t>
  </si>
  <si>
    <t>Temporal Total</t>
  </si>
  <si>
    <t>Base Critical Severity (4)</t>
  </si>
  <si>
    <t>Temporal Critical Severity (4)</t>
  </si>
  <si>
    <t>Base High Severity (3)</t>
  </si>
  <si>
    <t>Temporal High Severity (3)</t>
  </si>
  <si>
    <t>Base Medium Severity (2)</t>
  </si>
  <si>
    <t>Temporal Medium Severity (2)</t>
  </si>
  <si>
    <t>Critical</t>
  </si>
  <si>
    <t>High</t>
  </si>
  <si>
    <t>Medium</t>
  </si>
  <si>
    <t>Multiplier</t>
  </si>
  <si>
    <t>plugin Family</t>
  </si>
  <si>
    <t>plugin id</t>
  </si>
  <si>
    <t>plugin Name</t>
  </si>
  <si>
    <t>count</t>
  </si>
  <si>
    <t>Bid</t>
  </si>
  <si>
    <t>CVE</t>
  </si>
  <si>
    <t>OSVDB</t>
  </si>
  <si>
    <t>Solution</t>
  </si>
  <si>
    <t>Description</t>
  </si>
  <si>
    <t>Synopsis</t>
  </si>
  <si>
    <t>plugin_publication_date</t>
  </si>
  <si>
    <t>plugin_modification_date</t>
  </si>
  <si>
    <t>patch_publication_date</t>
  </si>
  <si>
    <t>vuln_publication_date</t>
  </si>
  <si>
    <t>n/a</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</si>
  <si>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</si>
  <si>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Valid credentials were provided for an available authentication protocol.</t>
  </si>
  <si>
    <t>2020/10/15</t>
  </si>
  <si>
    <t>2024/03/25</t>
  </si>
  <si>
    <t>IAVB:0001-B-0507</t>
  </si>
  <si>
    <t>This plugin reports the SSH commands that failed with a response indicating that privilege escalation is required to run them. Either privilege escalation credentials were not provided| or the command failed to run with the provided privilege escalation credentials.   NOTE: Due to limitations inherent to the majority of SSH servers| this plugin may falsely report failures for commands containing error output expected by sudo| such as 'incorrect password'| 'not in the sudoers file'| or 'not allowed to execute'.</t>
  </si>
  <si>
    <t>This plugin reports the SSH commands that failed with a response indicating that privilege escalation is required to run them.</t>
  </si>
  <si>
    <t>2017/08/01</t>
  </si>
  <si>
    <t>2020/09/22</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</si>
  <si>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</si>
  <si>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This plugin displays information about the Nessus scan.</t>
  </si>
  <si>
    <t>2005/08/26</t>
  </si>
  <si>
    <t>2025/10/29</t>
  </si>
  <si>
    <t>This plugin reports a device's hostname collected via SSH or WMI.</t>
  </si>
  <si>
    <t>It was possible to determine the remote system hostname.</t>
  </si>
  <si>
    <t>2011/06/30</t>
  </si>
  <si>
    <t>2025/11/03</t>
  </si>
  <si>
    <t>Disable any unused interfaces.</t>
  </si>
  <si>
    <t>Nessus was able to enumerate MAC addresses by connecting to the remote host via SSH with the supplied credentials.</t>
  </si>
  <si>
    <t>Nessus was able to enumerate MAC addresses on the remote host.</t>
  </si>
  <si>
    <t>2008/06/30</t>
  </si>
  <si>
    <t>2022/12/20</t>
  </si>
  <si>
    <t>Disable any unused IPv4 interfaces.</t>
  </si>
  <si>
    <t>Nessus was able to enumerate the network interfaces configured with IPv4 addresses by connecting to the remote host via SSH using the supplied credentials.</t>
  </si>
  <si>
    <t>Nessus was able to enumerate the IPv4 interfaces on the remote host.</t>
  </si>
  <si>
    <t>2007/05/11</t>
  </si>
  <si>
    <t>2025/09/24</t>
  </si>
  <si>
    <t>Disable IPv6 if you are not actually using it. Otherwise| disable any unused IPv6 interfaces.</t>
  </si>
  <si>
    <t>Nessus was able to enumerate the network interfaces configured with IPv6 addresses by connecting to the remote host via SSH using the supplied credentials.</t>
  </si>
  <si>
    <t>Nessus was able to enumerate the IPv6 interfaces on the remote host.</t>
  </si>
  <si>
    <t>Netbios Name</t>
  </si>
  <si>
    <t>Name</t>
  </si>
  <si>
    <t>CPE</t>
  </si>
  <si>
    <t>CPE Source</t>
  </si>
  <si>
    <t>Device Type</t>
  </si>
  <si>
    <t>Confidence Level</t>
  </si>
  <si>
    <t>OS</t>
  </si>
  <si>
    <t>Local Check Protocol</t>
  </si>
  <si>
    <t>MAC Address</t>
  </si>
  <si>
    <t>IP / Name</t>
  </si>
  <si>
    <t>Severity None (0)</t>
  </si>
  <si>
    <t>Severity Low (1)</t>
  </si>
  <si>
    <t>Severity Medium (2)</t>
  </si>
  <si>
    <t>Severity High (3)</t>
  </si>
  <si>
    <t>Severity Critical (4)</t>
  </si>
  <si>
    <t>Minimum password len</t>
  </si>
  <si>
    <t>Password history len</t>
  </si>
  <si>
    <t>Maximum password age days</t>
  </si>
  <si>
    <t>Password must meet complexity requirements</t>
  </si>
  <si>
    <t>Minimum password age days</t>
  </si>
  <si>
    <t>Forced logoff time Seconds</t>
  </si>
  <si>
    <t>Locked account time seconds</t>
  </si>
  <si>
    <t>Time between failed logon seconds</t>
  </si>
  <si>
    <t>Number of invalid logon before locked out seconds</t>
  </si>
  <si>
    <t>ssh</t>
  </si>
  <si>
    <t>00:0C:29:3C:8A:36
4C:5F:70:AB:64:A4</t>
  </si>
  <si>
    <t>Sevice Name</t>
  </si>
  <si>
    <t>DELETE</t>
  </si>
  <si>
    <t>bootpc?</t>
  </si>
  <si>
    <t>PluginID</t>
  </si>
  <si>
    <t>Audit File</t>
  </si>
  <si>
    <t>Policy Setting</t>
  </si>
  <si>
    <t>Result</t>
  </si>
  <si>
    <t>System Value/Error Messages</t>
  </si>
  <si>
    <t>Compliance Requirement</t>
  </si>
  <si>
    <t>Description of Requirement</t>
  </si>
  <si>
    <t>Authority Document</t>
  </si>
  <si>
    <t>Cross References</t>
  </si>
  <si>
    <t>CIS_Oracle_Linux_7_v4.0.0_L2_Server.audit</t>
  </si>
  <si>
    <t>5.2.4.4 Ensure only authorized groups are assigned ownership of audit log files</t>
  </si>
  <si>
    <t>FAILED</t>
  </si>
  <si>
    <t>'All of the following must pass to satisfy this requirement:
-------------------------
PASSED - Verify if the audit log files are owned by the root or adm group
The command '/bin/stat -c "%n %G" "$(dirname $(/bin/awk -F"=" '/^[\s]*log_file/ {print $2}' /etc/audit/auditd.conf | xargs))"/* | /bin/grep -Pv '^\h*\H+\h+(adm|root)\b' | /bin/awk '{print} END { if(NR==0) print "pass" ; else print "fail"}'' returned : 
awk: fatal: cannot open file `/etc/audit/auditd.conf' for reading (Permission denied)
dirname: missing operand
Try 'dirname --help' for more information.
pass
-------------------------
FAILED - auditd.conf matches log_group = adm or log_group = root
No files found: /etc/audit/auditd.conf</t>
  </si>
  <si>
    <t>Audit log files contain information about the system and system activity.
Access to audit records can reveal system and configuration data to attackers, potentially compromising its confidentiality.</t>
  </si>
  <si>
    <t>Run the following command to configure the audit log files to be owned by root group:
# find $(dirname $(awk -F"=" '/^s*log_files*=s*/ {print $2}' /etc/audit/auditd.conf | xargs)) -type f ( ! -group adm -a ! -group root ) -exec chgrp root {} +
Run the following command to configure the audit log files to be owned by the root group:
# chgrp root /var/log/audit/
Run the following command to set the log_group parameter in the audit configuration file to log_group = root :
# sed -ri 's/^s*#?s*log_groups*=s*S+(s*#.*)?.*$/log_group = root1/' /etc/audit/auditd.conf
Run the following command to restart the audit daemon to reload the configuration file:
# systemctl restart auditd</t>
  </si>
  <si>
    <t>https://workbench.cisecurity.org/benchmarks/15965</t>
  </si>
  <si>
    <t>800-171|3.1.1, 800-171|3.1.4, 800-171|3.1.5, 800-171|3.8.1, 800-171|3.8.2, 800-171|3.8.3, 800-53|AC-3, 800-53|AC-5, 800-53|AC-6, 800-53|MP-2, 800-53r5|AC-3, 800-53r5|AC-5, 800-53r5|AC-6, 800-53r5|MP-2, CN-L3|7.1.3.2(b), CN-L3|7.1.3.2(g), CN-L3|8.1.4.2(d), CN-L3|8.1.4.2(f), CN-L3|8.1.4.11(b), CN-L3|8.1.10.2(c), CN-L3|8.1.10.6(a), CN-L3|8.5.3.1, CN-L3|8.5.4.1(a), CSCv7|14.6, CSCv8|3.3, CSF|PR.AC-4, CSF|PR.DS-5, CSF|PR.PT-2, CSF|PR.PT-3, CSF2.0|PR.AA-05, CSF2.0|PR.DS-10, CSF2.0|PR.IR-01, GDPR|32.1.b, HIPAA|164.306(a)(1), HIPAA|164.312(a)(1), ISO/IEC-27001|A.6.1.2, ISO/IEC-27001|A.9.4.1, ISO/IEC-27001|A.9.4.5, ITSG-33|AC-3, ITSG-33|AC-5, ITSG-33|AC-6, ITSG-33|MP-2, ITSG-33|MP-2a., LEVEL|2A,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</si>
  <si>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5.2.4.3 Ensure only authorized users own audit log files</t>
  </si>
  <si>
    <t>'The command '[ -f /etc/audit/auditd.conf ] &amp;&amp; /bin/find "$(dirname $(/bin/awk -F "=" '/^\s*log_file/ {print $2}' /etc/audit/auditd.conf | /bin/xargs))" -type f ! -user root -exec stat -Lc "%n %U" {} + | /bin/awk '{print} END { if(NR==0) print "pass" ; else print "fail"}'' did not return any result</t>
  </si>
  <si>
    <t>cmd: [ -f /etc/audit/auditd.conf ] &amp;&amp; /bin/find "$(dirname $(/bin/awk -F "=" '/^\s*log_file/ {print $2}' /etc/audit/auditd.conf | /bin/xargs))" -type f ! -user root -exec stat -Lc "%n %U" {} + | /bin/awk '{print} END { if(NR==0) print "pass" ; else print "fail"}'
expect: ^pass$
timeout: 7200</t>
  </si>
  <si>
    <t>Run the following command to configure the audit log files to be owned by the root user:
# [ -f /etc/audit/auditd.conf ] &amp;&amp; find "$(dirname $(awk -F "=" '/^s*log_file/ {print $2}' /etc/audit/auditd.conf | xargs))" -type f ! -user root -exec chown root {} +</t>
  </si>
  <si>
    <t>5.2.4.2 Ensure audit log files are mode 0640 or less permissive</t>
  </si>
  <si>
    <t>'The command '[ -f /etc/audit/auditd.conf ] &amp;&amp; /bin/find "$(dirname $(awk -F "=" '/^\s*log_file/ {print $2}' /etc/audit/auditd.conf | /bin/xargs))" -type f \( ! -perm 600 -a ! -perm 0400 -a ! -perm 0200 -a ! -perm 0000 -a ! -perm 0640 -a ! -perm 0440 -a ! -perm 0040 \) -exec /bin/stat -Lc "%n %#a" {} + | /bin/awk '{print} END { if(NR==0) print "pass"; else print "fail"}'' did not return any result</t>
  </si>
  <si>
    <t>cmd: [ -f /etc/audit/auditd.conf ] &amp;&amp; /bin/find "$(dirname $(awk -F "=" '/^\s*log_file/ {print $2}' /etc/audit/auditd.conf | /bin/xargs))" -type f \( ! -perm 600 -a ! -perm 0400 -a ! -perm 0200 -a ! -perm 0000 -a ! -perm 0640 -a ! -perm 0440 -a ! -perm 0040 \) -exec /bin/stat -Lc "%n %#a" {} + | /bin/awk '{print} END { if(NR==0) print "pass"; else print "fail"}'
expect: ^pass$
timeout: 7200</t>
  </si>
  <si>
    <t>Run the following command to remove more permissive mode than 0640 from audit log files:
# [ -f /etc/audit/auditd.conf ] &amp;&amp; find "$(dirname $(awk -F "=" '/^s*log_file/ {print $2}' /etc/audit/auditd.conf | xargs))" -type f ( ! -perm 600 -a ! -perm 0400 -a ! -perm 0200 -a ! -perm 0000 -a ! -perm 0640 -a ! -perm 0440 -a ! -perm 0040 ) -exec chmod u-x,g-wx,o-rwx {} +</t>
  </si>
  <si>
    <t>5.2.3.9 Ensure discretionary access control permission modification events are collected</t>
  </si>
  <si>
    <t>'All of the following must pass to satisfy this requirement:
-------------------------
FAILED - auditctl b32 setxattr
The command 'UID_MIN=$(awk '/^\s*UID_MIN/{print $2}' /etc/login.defs); [ -n "${UID_MIN}" ] &amp;&amp; auditctl -l | awk "(/^ *-a *always,exit/||/^ *-a *exit,always/) &amp;&amp;/ -F *arch=b32/ &amp;&amp;(/ -F *auid!=unset/||/ -F *auid!=-1/||/ -F *auid!=4294967295/) &amp;&amp;/ -S/ &amp;&amp;/ -F *auid&gt;=${UID_MIN}/ &amp;&amp;/setxattr/ &amp;&amp;(/ key= *[!-~]* *$/||/ -k *[!-~]* *$/)" | /bin/awk '{print} END {if (NR != 0) print "pass" ; else print "fail"}' || printf "ERROR: Variable 'UID_MIN' is unset.\n"' returned : 
You must be root to run this program.
fail
-------------------------
FAILED - b64 fchownat
The command 'UID_MIN=$(awk '/^\s*UID_MIN/{print $2}' /etc/login.defs); [ -n "${UID_MIN}" ] &amp;&amp; awk "(/^ *-a *always,exit/||/^ *-a *exit,always/) &amp;&amp;/ -F *arch=b64/ &amp;&amp;(/ -F *auid!=unset/||/ -F *auid!=-1/||/ -F *auid!=4294967295/) &amp;&amp;/ -S/ &amp;&amp;/ -F *auid&gt;=${UID_MIN}/ &amp;&amp;/fchownat/ &amp;&amp;(/ key= *[!-~]* *$/||/ -k *[!-~]* *$/)" /etc/audit/rules.d/*.rules | /bin/awk '{print} END {if (NR != 0) print "pass" ; else print "fail"}' || printf "ERROR: Variable 'UID_MIN' is unset.\n"' returned : 
awk: fatal: cannot open file `/etc/audit/rules.d/*.rules' for reading (Permission denied)
fail
-------------------------
FAILED - auditctl b32 fchown
The command 'UID_MIN=$(awk '/^\s*UID_MIN/{print $2}' /etc/login.defs); [ -n "${UID_MIN}" ] &amp;&amp; auditctl -l | awk "(/^ *-a *always,exit/||/^ *-a *exit,always/) &amp;&amp;/ -F *arch=b32/ &amp;&amp;(/ -F *auid!=unset/||/ -F *auid!=-1/||/ -F *auid!=4294967295/) &amp;&amp;/ -S/ &amp;&amp;/ -F *auid&gt;=${UID_MIN}/ &amp;&amp;/fchownat/ &amp;&amp;(/ key= *[!-~]* *$/||/ -k *[!-~]* *$/)" | /bin/awk '{print} END {if (NR != 0) print "pass" ; else print "fail"}' || printf "ERROR: Variable 'UID_MIN' is unset.\n"' returned : 
You must be root to run this program.
fail
-------------------------
FAILED - auditctl b64 chmod
The command 'UID_MIN=$(awk '/^\s*UID_MIN/{print $2}' /etc/login.defs); [ -n "${UID_MIN}" ] &amp;&amp; auditctl -l | awk "(/^ *-a *always,exit/||/^ *-a *exit,always/) &amp;&amp;/ -F *arch=b64/ &amp;&amp;(/ -F *auid!=unset/||/ -F *auid!=-1/||/ -F *auid!=4294967295/) &amp;&amp;/ -S/ &amp;&amp;/ -F *auid&gt;=${UID_MIN}/ &amp;&amp;/chmod/ &amp;&amp;(/ key= *[!-~]* *$/||/ -k *[!-~]* *$/)" | /bin/awk '{print} END {if (NR != 0) print "pass" ; else print "fail"}' || printf "ERROR: Variable 'UID_MIN' is unset.\n"' returned : 
You must be root to run this program.
fail
-------------------------
FAILED - auditctl b32 chmod
The command 'UID_MIN=$(awk '/^\s*UID_MIN/{print $2}' /etc/login.defs); [ -n "${UID_MIN}" ] &amp;&amp; auditctl -l | awk "(/^ *-a *always,exit/||/^ *-a *exit,always/) &amp;&amp;/ -F *arch=b32/ &amp;&amp;(/ -F *auid!=unset/||/ -F *auid!=-1/||/ -F *auid!=4294967295/) &amp;&amp;/ -S/ &amp;&amp;/ -F *auid&gt;=${UID_MIN}/ &amp;&amp;/chmod/ &amp;&amp;(/ key= *[!-~]* *$/||/ -k *[!-~]* *$/)" | /bin/awk '{print} END {if (NR != 0) print "pass" ; else print "fail"}' || printf "ERROR: Variable 'UID_MIN' is unset.\n"' returned : 
You must be root to run this program.
fail
-------------------------
FAILED - b32 lremovexattr
The command 'UID_MIN=$(awk '/^\s*UID_MIN/{print $2}' /etc/login.defs); [ -n "${UID_MIN}" ] &amp;&amp; awk "(/^ *-a *always,exit/||/^ *-a *exit,always/) &amp;&amp;/ -F *arch=b32/ &amp;&amp;(/ -F *auid!=unset/||/ -F *auid!=-1/||/ -F *auid!=4294967295/) &amp;&amp;/ -S/ &amp;&amp;/ -F *auid&gt;=${UID_MIN}/ &amp;&amp;/lremovexattr/ &amp;&amp;(/ key= *[!-~]* *$/||/ -k *[!-~]* *$/)" /etc/audit/rules.d/*.rules | /bin/awk '{print} END {if (NR != 0) print "pass" ; else print "fail"}' || printf "ERROR: Variable 'UID_MIN' is unset.\n"' returned : 
awk: fatal: cannot open file `/etc/audit/rules.d/*.rules' for reading (Permission denied)
fail
-------------------------
FAILED - auditctl b32 fremovexattr
The command 'UID_MIN=$(awk '/^\s*UID_MIN/{print $2}' /etc/login.defs); [ -n "${UID_MIN}" ] &amp;&amp; auditctl -l | awk "(/^ *-a *always,exit/||/^ *-a *exit,always/) &amp;&amp;/ -F *arch=b32/ &amp;&amp;(/ -F *auid!=unset/||/ -F *auid!=-1/||/ -F *auid!=4294967295/) &amp;&amp;/ -S/ &amp;&amp;/ -F *auid&gt;=${UID_MIN}/ &amp;&amp;/fremovexattr/ &amp;&amp;(/ key= *[!-~]* *$/||/ -k *[!-~]* *$/)" | /bin/awk '{print} END {if (NR != 0) print "pass" ; else print "fail"}' || printf "ERROR: Variable 'UID_MIN' is unset.\n"' returned : 
You must be root to run this program.
fail
-------------------------
FAILED - b64 fsetxattr
The command 'UID_MIN=$(awk '/^\s*UID_MIN/{print $2}' /etc/login.defs); [ -n "${UID_MIN}" ] &amp;&amp; awk "(/^ *-a *always,exit/||/^ *-a *exit,always/) &amp;&amp;/ -F *arch=b64/ &amp;&amp;(/ -F *auid!=unset/||/ -F *auid!=-1/||/ -F *auid!=4294967295/) &amp;&amp;/ -S/ &amp;&amp;/ -F *auid&gt;=${UID_MIN}/ &amp;&amp;/fsetxattr/ &amp;&amp;(/ key= *[!-~]* *$/||/ -k *[!-~]* *$/)" /etc/audit/rules.d/*.rules | /bin/awk '{print} END {if (NR != 0) print "pass" ; else print "fail"}' || printf "ERROR: Variable 'UID_MIN' is unset.\n"' returned : 
awk: fatal: cannot open file `/etc/audit/rules.d/*.rules' for reading (Permission denied)
fail
-------------------------
FAILED - auditctl b32 fchmod
The command 'UID_MIN=$(awk '/^\s*UID_MIN/{print $2}' /etc/login.defs); [ -n "${UID_MIN}" ] &amp;&amp; auditctl -l | awk "(/^ *-a *always,exit/||/^ *-a *exit,always/) &amp;&amp;/ -F *arch=b32/ &amp;&amp;(/ -F *auid!=unset/||/ -F *auid!=-1/||/ -F *auid!=4294967295/) &amp;&amp;/ -S/ &amp;&amp;/ -F *auid&gt;=${UID_MIN}/ &amp;&amp;/fchmod/ &amp;&amp;(/ key= *[!-~]* *$/||/ -k *[!-~]* *$/)" | /bin/awk '{print} END {if (NR != 0) print "pass" ; else print "fail"}' || printf "ERROR: Variable 'UID_MIN' is unset.\n"' returned : 
You must be root to run this program.
fail
-------------------------
FAILED - auditctl b64 fremovexattr
The command 'UID_MIN=$(awk '/^\s*UID_MIN/{print $2}' /etc/login.defs); [ -n "${UID_MIN}" ] &amp;&amp; auditctl -l | awk "(/^ *-a *always,exit/||/^ *-a *exit,always/) &amp;&amp;/ -F *arch=b64/ &amp;&amp;(/ -F *auid!=unset/||/ -F *auid!=-1/||/ -F *auid!=4294967295/) &amp;&amp;/ -S/ &amp;&amp;/ -F *auid&gt;=${UID_MIN}/ &amp;&amp;/fremovexattr/ &amp;&amp;(/ key= *[!-~]* *$/||/ -k *[!-~]* *$/)" | /bin/awk '{print} END {if (NR != 0) print "pass" ; else print "fail"}' || printf "ERROR: Variable 'UID_MIN' is unset.\n"' returned : 
You must be root to run this program.
fail
-------------------------
FAILED - auditctl b64 chown
The command 'UID_MIN=$(awk '/^\s*UID_MIN/{print $2}' /etc/login.defs); [ -n "${UID_MIN}" ] &amp;&amp; auditctl -l | awk "(/^ *-a *always,exit/||/^ *-a *exit,always/) &amp;&amp;/ -F *arch=b64/ &amp;&amp;(/ -F *auid!=unset/||/ -F *auid!=-1/||/ -F *auid!=4294967295/) &amp;&amp;/ -S/ &amp;&amp;/ -F *auid&gt;=${UID_MIN}/ &amp;&amp;/chown/ &amp;&amp;(/ key= *[!-~]* *$/||/ -k *[!-~]* *$/)" | /bin/awk '{print} END {if (NR != 0) print "pass" ; else print "fail"}' || printf "ERROR: Variable 'UID_MIN' is unset.\n"' returned : 
You must be root to run this program.
fail
-------------------------
FAILED - b64 fchmodat
The command 'UID_MIN=$(awk '/^\s*UID_MIN/{print $2}' /etc/login.defs); [ -n "${UID_MIN}" ] &amp;&amp; awk "(/^ *-a *always,exit/||/^ *-a *exit,always/) &amp;&amp;/ -F *arch=b64/ &amp;&amp;(/ -F *auid!=unset/||/ -F *auid!=-1/||/ -F *auid!=4294967295/) &amp;&amp;/ -S/ &amp;&amp;/ -F *auid&gt;=${UID_MIN}/ &amp;&amp;/fchmodat/ &amp;&amp;(/ key= *[!-~]* *$/||/ -k *[!-~]* *$/)" /etc/audit/rules.d/*.rules | /bin/awk '{print} END {if (NR != 0) print "pass" ; else print "fail"}' || printf "ERROR: Variable 'UID_MIN' is unset.\n"' returned : 
awk: fatal: cannot open file `/etc/audit/rules.d/*.rules' for reading (Permission denied)
fail
-------------------------
FAILED - b32 fchmodat
The command 'UID_MIN=$(awk '/^\s*UID_MIN/{print $2}' /etc/login.defs); [ -n "${UID_MIN}" ] &amp;&amp; awk "(/^ *-a *always,exit/||/^ *-a *exit,always/) &amp;&amp;/ -F *arch=b32/ &amp;&amp;(/ -F *auid!=unset/||/ -F *auid!=-1/||/ -F *auid!=4294967295/) &amp;&amp;/ -S/ &amp;&amp;/ -F *auid&gt;=${UID_MIN}/ &amp;&amp;/fchmodat/ &amp;&amp;(/ key= *[!-~]* *$/||/ -k *[!-~]* *$/)" /etc/audit/rules.d/*.rules | /bin/awk '{print} END {if (NR != 0) print "pass" ; else print "fail"}' || printf "ERROR: Variable 'UID_MIN' is unset.\n"' returned : 
awk: fatal: cannot open file `/etc/audit/rules.d/*.rules' for reading (Permission denied)
fail
-------------------------
FAILED - auditctl b64 fsetxattr
The command 'UID_MIN=$(awk '/^\s*UID_MIN/{print $2}' /etc/login.defs); [ -n "${UID_MIN}" ] &amp;&amp; auditctl -l | awk "(/^ *-a *always,exit/||/^ *-a *exit,always/) &amp;&amp;/ -F *arch=b64/ &amp;&amp;(/ -F *auid!=unset/||/ -F *auid!=-1/||/ -F *auid!=4294967295/) &amp;&amp;/ -S/ &amp;&amp;/ -F *auid&gt;=${UID_MIN}/ &amp;&amp;/fsetxattr/ &amp;&amp;(/ key= *[!-~]* *$/||/ -k *[!-~]* *$/)" | /bin/awk '{print} END {if (NR != 0) print "pass" ; else print "fail"}' || printf "ERROR: Variable 'UID_MIN' is unset.\n"' returned : 
You must be root to run this program.
fail
-------------------------
FAILED - b32 fsetxattr
The command 'UID_MIN=$(awk '/^\s*UID_MIN/{print $2}' /etc/login.defs); [ -n "${UID_MIN}" ] &amp;&amp; awk "(/^ *-a *always,exit/||/^ *-a *exit,always/) &amp;&amp;/ -F *arch=b32/ &amp;&amp;(/ -F *auid!=unset/||/ -F *auid!=-1/||/ -F *auid!=4294967295/) &amp;&amp;/ -S/ &amp;&amp;/ -F *auid&gt;=${UID_MIN}/ &amp;&amp;/fsetxattr/ &amp;&amp;(/ key= *[!-~]* *$/||/ -k *[!-~]* *$/)" /etc/audit/rules.d/*.rules | /bin/awk '{print} END {if (NR != 0) print "pass" ; else print "fail"}' || printf "ERROR: Variable 'UID_MIN' is unset.\n"' returned : 
awk: fatal: cannot open file `/etc/audit/rules.d/*.rules' for reading (Permission denied)
fail
-------------------------
FAILED - auditctl b64 fchown
The command 'UID_MIN=$(awk '/^\s*UID_MIN/{print $2}' /etc/login.defs); [ -n "${UID_MIN}" ] &amp;&amp; auditctl -l | awk "(/^ *-a *always,exit/||/^ *-a *exit,always/) &amp;&amp;/ -F *arch=b64/ &amp;&amp;(/ -F *auid!=unset/||/ -F *auid!=-1/||/ -F *auid!=4294967295/) &amp;&amp;/ -S/ &amp;&amp;/ -F *auid&gt;=${UID_MIN}/ &amp;&amp;/fchown/ &amp;&amp;(/ key= *[!-~]* *$/||/ -k *[!-~]* *$/)" | /bin/awk '{print} END {if (NR != 0) print "pass" ; else print "fail"}' || printf "ERROR: Variable 'UID_MIN' is unset.\n"' returned : 
You must be root to run this program.
fail
-------------------------
FAILED - b32 fchmod
The command 'UID_MIN=$(awk '/^\s*UID_MIN/{print $2}' /etc/login.defs); [ -n "${UID_MIN}" ] &amp;&amp; awk "(/^ *-a *always,exit/||/^ *-a *exit,always/) &amp;&amp;/ -F *arch=b32/ &amp;&amp;(/ -F *auid!=unset/||/ -F *auid!=-1/||/ -F *auid!=4294967295/) &amp;&amp;/ -S/ &amp;&amp;/ -F *auid&gt;=${UID_MIN}/ &amp;&amp;/fchmod/ &amp;&amp;(/ key= *[!-~]* *$/||/ -k *[!-~]* *$/)" /etc/audit/rules.d/*.rules | /bin/awk '{print} END {if (NR != 0) print "pass" ; else print "fail"}' || printf "ERROR: Variable 'UID_MIN' is unset.\n"' returned : 
awk: fatal: cannot open file `/etc/audit/rules.d/*.rules' for reading (Permission denied)
fail
-------------------------
FAILED - b64 lremovexattr
The command 'UID_MIN=$(awk '/^\s*UID_MIN/{print $2}' /etc/login.defs); [ -n "${UID_MIN}" ] &amp;&amp; awk "(/^ *-a *always,exit/||/^ *-a *exit,always/) &amp;&amp;/ -F *arch=b64/ &amp;&amp;(/ -F *auid!=unset/||/ -F *auid!=-1/||/ -F *auid!=4294967295/) &amp;&amp;/ -S/ &amp;&amp;/ -F *auid&gt;=${UID_MIN}/ &amp;&amp;/lremovexattr/ &amp;&amp;(/ key= *[!-~]* *$/||/ -k *[!-~]* *$/)" /etc/audit/rules.d/*.rules | /bin/awk '{print} END {if (NR != 0) print "pass" ; else print "fail"}' || printf "ERROR: Variable 'UID_MIN' is unset.\n"' returned : 
awk: fatal: cannot open file `/etc/audit/rules.d/*.rules' for reading (Permission denied)
fail
-------------------------
FAILED - auditctl b32 fchmodat
The command 'UID_MIN=$(awk '/^\s*UID_MIN/{print $2}' /etc/login.defs); [ -n "${UID_MIN}" ] &amp;&amp; auditctl -l | awk "(/^ *-a *always,exit/||/^ *-a *exit,always/) &amp;&amp;/ -F *arch=b32/ &amp;&amp;(/ -F *auid!=unset/||/ -F *auid!=-1/||/ -F *auid!=4294967295/) &amp;&amp;/ -S/ &amp;&amp;/ -F *auid&gt;=${UID_MIN}/ &amp;&amp;/fchmodat/ &amp;&amp;(/ key= *[!-~]* *$/||/ -k *[!-~]* *$/)" | /bin/awk '{print} END {if (NR != 0) print "pass" ; else print "fail"}' || printf "ERROR: Variable 'UID_MIN' is unset.\n"' returned : 
You must be root to run this program.
fail
-------------------------
FAILED - b64 fchown
The command 'UID_MIN=$(awk '/^\s*UID_MIN/{print $2}' /etc/login.defs); [ -n "${UID_MIN}" ] &amp;&amp; awk "(/^ *-a *always,exit/||/^ *-a *exit,always/) &amp;&amp;/ -F *arch=b64/ &amp;&amp;(/ -F *auid!=unset/||/ -F *auid!=-1/||/ -F *auid!=4294967295/) &amp;&amp;/ -S/ &amp;&amp;/ -F *auid&gt;=${UID_MIN}/ &amp;&amp;/fchown/ &amp;&amp;(/ key= *[!-~]* *$/||/ -k *[!-~]* *$/)" /etc/audit/rules.d/*.rules | /bin/awk '{print} END {if (NR != 0) print "pass" ; else print "fail"}' || printf "ERROR: Variable 'UID_MIN' is unset.\n"' returned : 
awk: fatal: cannot open file `/etc/audit/rules.d/*.rules' for reading (Permission denied)
fail
-------------------------
FAILED - b64 setxattr
The command 'UID_MIN=$(awk '/^\s*UID_MIN/{print $2}' /etc/login.defs); [ -n "${UID_MIN}" ] &amp;&amp; awk "(/^ *-a *always,exit/||/^ *-a *exit,always/) &amp;&amp;/ -F *arch=b64/ &amp;&amp;(/ -F *auid!=unset/||/ -F *auid!=-1/||/ -F *auid!=4294967295/) &amp;&amp;/ -S/ &amp;&amp;/ -F *auid&gt;=${UID_MIN}/ &amp;&amp;/setxattr/ &amp;&amp;(/ key= *[!-~]* *$/||/ -k *[!-~]* *$/)" /etc/audit/rules.d/*.rules | /bin/awk '{print} END {if (NR != 0) print "pass" ; else print "fail"}' || printf "ERROR: Variable 'UID_MIN' is unset.\n"' returned : 
awk: fatal: cannot open file `/etc/audit/rules.d/*.rules' for reading (Permission denied)
fail
-------------------------
FAILED - b64 fremovexattr
The command 'UID_MIN=$(awk '/^\s*UID_MIN/{print $2}' /etc/login.defs); [ -n "${UID_MIN}" ] &amp;&amp; awk "(/^ *-a *always,exit/||/^ *-a *exit,always/) &amp;&amp;/ -F *arch=b64/ &amp;&amp;(/ -F *auid!=unset/||/ -F *auid!=-1/||/ -F *auid!=4294967295/) &amp;&amp;/ -S/ &amp;&amp;/ -F *auid&gt;=${UID_MIN}/ &amp;&amp;/fremovexattr/ &amp;&amp;(/ key= *[!-~]* *$/||/ -k *[!-~]* *$/)" /etc/audit/rules.d/*.rules | /bin/awk '{print} END {if (NR != 0) print "pass" ; else print "fail"}' || printf "ERROR: Variable 'UID_MIN' is unset.\n"' returned : 
awk: fatal: cannot open file `/etc/audit/rules.d/*.rules' for reading (Permission denied)
fail
-------------------------
FAILED - b64 removexattr
The command 'UID_MIN=$(awk '/^\s*UID_MIN/{print $2}' /etc/login.defs); [ -n "${UID_MIN}" ] &amp;&amp; awk "(/^ *-a *always,exit/||/^ *-a *exit,always/) &amp;&amp;/ -F *arch=b64/ &amp;&amp;(/ -F *auid!=unset/||/ -F *auid!=-1/||/ -F *auid!=4294967295/) &amp;&amp;/ -S/ &amp;&amp;/ -F *auid&gt;=${UID_MIN}/ &amp;&amp;/removexattr/ &amp;&amp;(/ key= *[!-~]* *$/||/ -k *[!-~]* *$/)" /etc/audit/rules.d/*.rules | /bin/awk '{print} END {if (NR != 0) print "pass" ; else print "fail"}' || printf "ERROR: Variable 'UID_MIN' is unset.\n"' returned : 
awk: fatal: cannot open file `/etc/audit/rules.d/*.rules' for reading (Permission denied)
fail
-------------------------
FAILED - b32 lchown
The command 'UID_MIN=$(awk '/^\s*UID_MIN/{print $2}' /etc/login.defs); [ -n "${UID_MIN}" ] &amp;&amp; awk "(/^ *-a *always,exit/||/^ *-a *exit,always/) &amp;&amp;/ -F *arch=b32/ &amp;&amp;(/ -F *auid!=unset/||/ -F *auid!=-1/||/ -F *auid!=4294967295/) &amp;&amp;/ -S/ &amp;&amp;/ -F *auid&gt;=${UID_MIN}/ &amp;&amp;/lchown/ &amp;&amp;(/ key= *[!-~]* *$/||/ -k *[!-~]* *$/)" /etc/audit/rules.d/*.rules | /bin/awk '{print} END {if (NR != 0) print "pass" ; else print "fail"}' || printf "ERROR: Variable 'UID_MIN' is unset.\n"' returned : 
awk: fatal: cannot open file `/etc/audit/rules.d/*.rules' for reading (Permission denied)
fail
-------------------------
FAILED - auditctl b64 lsetxattr
The command 'UID_MIN=$(awk '/^\s*UID_MIN/{print $2}' /etc/login.defs); [ -n "${UID_MIN}" ] &amp;&amp; auditctl -l | awk "(/^ *-a *always,exit/||/^ *-a *exit,always/) &amp;&amp;/ -F *arch=b64/ &amp;&amp;(/ -F *auid!=unset/||/ -F *auid!=-1/||/ -F *auid!=4294967295/) &amp;&amp;/ -S/ &amp;&amp;/ -F *auid&gt;=${UID_MIN}/ &amp;&amp;/lsetxattr/ &amp;&amp;(/ key= *[!-~]* *$/||/ -k *[!-~]* *$/)" | /bin/awk '{print} END {if (NR != 0) print "pass" ; else print "fail"}' || printf "ERROR: Variable 'UID_MIN' is unset.\n"' returned : 
You must be root to run this program.
fail
-------------------------
FAILED - auditctl b32 removexattr
The command 'UID_MIN=$(awk '/^\s*UID_MIN/{print $2}' /etc/login.defs); [ -n "${UID_MIN}" ] &amp;&amp; auditctl -l | awk "(/^ *-a *always,exit/||/^ *-a *exit,always/) &amp;&amp;/ -F *arch=b32/ &amp;&amp;(/ -F *auid!=unset/||/ -F *auid!=-1/||/ -F *auid!=4294967295/) &amp;&amp;/ -S/ &amp;&amp;/ -F *auid&gt;=${UID_MIN}/ &amp;&amp;/removexattr/ &amp;&amp;(/ key= *[!-~]* *$/||/ -k *[!-~]* *$/)" | /bin/awk '{print} END {if (NR != 0) print "pass" ; else print "fail"}' || printf "ERROR: Variable 'UID_MIN' is unset.\n"' returned : 
You must be root to run this program.
fail
-------------------------
FAILED - auditctl b64 fchmod
The command 'UID_MIN=$(awk '/^\s*UID_MIN/{print $2}' /etc/login.defs); [ -n "${UID_MIN}" ] &amp;&amp; auditctl -l | awk "(/^ *-a *always,exit/||/^ *-a *exit,always/) &amp;&amp;/ -F *arch=b64/ &amp;&amp;(/ -F *auid!=unset/||/ -F *auid!=-1/||/ -F *auid!=4294967295/) &amp;&amp;/ -S/ &amp;&amp;/ -F *auid&gt;=${UID_MIN}/ &amp;&amp;/fchmod/ &amp;&amp;(/ key= *[!-~]* *$/||/ -k *[!-~]* *$/)" | /bin/awk '{print} END {if (NR != 0) print "pass" ; else print "fail"}' || printf "ERROR: Variable 'UID_MIN' is unset.\n"' returned : 
You must be root to run this program.
fail
-------------------------
FAILED - b32 setxattr
The command 'UID_MIN=$(awk '/^\s*UID_MIN/{print $2}' /etc/login.defs); [ -n "${UID_MIN}" ] &amp;&amp; awk "(/^ *-a *always,exit/||/^ *-a *exit,always/) &amp;&amp;/ -F *arch=b32/ &amp;&amp;(/ -F *auid!=unset/||/ -F *auid!=-1/||/ -F *auid!=4294967295/) &amp;&amp;/ -S/ &amp;&amp;/ -F *auid&gt;=${UID_MIN}/ &amp;&amp;/setxattr/ &amp;&amp;(/ key= *[!-~]* *$/||/ -k *[!-~]* *$/)" /etc/audit/rules.d/*.rules | /bin/awk '{print} END {if (NR != 0) print "pass" ; else print "fail"}' || printf "ERROR: Variable 'UID_MIN' is unset.\n"' returned : 
awk: fatal: cannot open file `/etc/audit/rules.d/*.rules' for reading (Permission denied)
fail
-------------------------
FAILED - auditctl b32 fchown
The command 'UID_MIN=$(awk '/^\s*UID_MIN/{print $2}' /etc/login.defs); [ -n "${UID_MIN}" ] &amp;&amp; auditctl -l | awk "(/^ *-a *always,exit/||/^ *-a *exit,always/) &amp;&amp;/ -F *arch=b32/ &amp;&amp;(/ -F *auid!=unset/||/ -F *auid!=-1/||/ -F *auid!=4294967295/) &amp;&amp;/ -S/ &amp;&amp;/ -F *auid&gt;=${UID_MIN}/ &amp;&amp;/fchown/ &amp;&amp;(/ key= *[!-~]* *$/||/ -k *[!-~]* *$/)" | /bin/awk '{print} END {if (NR != 0) print "pass" ; else print "fail"}' || printf "ERROR: Variable 'UID_MIN' is unset.\n"' returned : 
You must be root to run this program.
fail
-------------------------
FAILED - auditctl b32 chown
The command 'UID_MIN=$(awk '/^\s*UID_MIN/{print $2}' /etc/login.defs); [ -n "${UID_MIN}" ] &amp;&amp; auditctl -l | awk "(/^ *-a *always,exit/||/^ *-a *exit,always/) &amp;&amp;/ -F *arch=b32/ &amp;&amp;(/ -F *auid!=unset/||/ -F *auid!=-1/||/ -F *auid!=4294967295/) &amp;&amp;/ -S/ &amp;&amp;/ -F *auid&gt;=${UID_MIN}/ &amp;&amp;/chown/ &amp;&amp;(/ key= *[!-~]* *$/||/ -k *[!-~]* *$/)" | /bin/awk '{print} END {if (NR != 0) print "pass" ; else print "fail"}' || printf "ERROR: Variable 'UID_MIN' is unset.\n"' returned : 
You must be root to run this program.
fail
-------------------------
FAILED - b32 fchown
The command 'UID_MIN=$(awk '/^\s*UID_MIN/{print $2}' /etc/login.defs); [ -n "${UID_MIN}" ] &amp;&amp; awk "(/^ *-a *always,exit/||/^ *-a *exit,always/) &amp;&amp;/ -F *arch=b32/ &amp;&amp;(/ -F *auid!=unset/||/ -F *auid!=-1/||/ -F *auid!=4294967295/) &amp;&amp;/ -S/ &amp;&amp;/ -F *auid&gt;=${UID_MIN}/ &amp;&amp;/fchown/ &amp;&amp;(/ key= *[!-~]* *$/||/ -k *[!-~]* *$/)" /etc/audit/rules.d/*.rules | /bin/awk '{print} END {if (NR != 0) print "pass" ; else print "fail"}' || printf "ERROR: Variable 'UID_MIN' is unset.\n"' returned : 
awk: fatal: cannot open file `/etc/audit/rules.d/*.rules' for reading (Permission denied)
fail
-------------------------
FAILED - b64 fchmod
The command 'UID_MIN=$(awk '/^\s*UID_MIN/{print $2}' /etc/login.defs); [ -n "${UID_MIN}" ] &amp;&amp; awk "(/^ *-a *always,exit/||/^ *-a *exit,always/) &amp;&amp;/ -F *arch=b64/ &amp;&amp;(/ -F *auid!=unset/||/ -F *auid!=-1/||/ -F *auid!=4294967295/) &amp;&amp;/ -S/ &amp;&amp;/ -F *auid&gt;=${UID_MIN}/ &amp;&amp;/fchmod/ &amp;&amp;(/ key= *[!-~]* *$/||/ -k *[!-~]* *$/)" /etc/audit/rules.d/*.rules | /bin/awk '{print} END {if (NR != 0) print "pass" ; else print "fail"}' || printf "ERROR: Variable 'UID_MIN' is unset.\n"' returned : 
awk: fatal: cannot open file `/etc/audit/rules.d/*.rules' for reading (Permission denied)
fail
-------------------------
FAILED - b32 chown
The command 'UID_MIN=$(awk '/^\s*UID_MIN/{print $2}' /etc/login.defs); [ -n "${UID_MIN}" ] &amp;&amp; awk "(/^ *-a *always,exit/||/^ *-a *exit,always/) &amp;&amp;/ -F *arch=b32/ &amp;&amp;(/ -F *auid!=unset/||/ -F *auid!=-1/||/ -F *auid!=4294967295/) &amp;&amp;/ -S/ &amp;&amp;/ -F *auid&gt;=${UID_MIN}/ &amp;&amp;/chown/ &amp;&amp;(/ key= *[!-~]* *$/||/ -k *[!-~]* *$/)" /etc/audit/rules.d/*.rules | /bin/awk '{print} END {if (NR != 0) print "pass" ; else print "fail"}' || printf "ERROR: Variable 'UID_MIN' is unset.\n"' returned : 
awk: fatal: cannot open file `/etc/audit/rules.d/*.rules' for reading (Permission denied)
fail
-------------------------
FAILED - b32 fremovexattr
The command 'UID_MIN=$(awk '/^\s*UID_MIN/{print $2}' /etc/login.defs); [ -n "${UID_MIN}" ] &amp;&amp; awk "(/^ *-a *always,exit/||/^ *-a *exit,always/) &amp;&amp;/ -F *arch=b32/ &amp;&amp;(/ -F *auid!=unset/||/ -F *auid!=-1/||/ -F *auid!=4294967295/) &amp;&amp;/ -S/ &amp;&amp;/ -F *auid&gt;=${UID_MIN}/ &amp;&amp;/fremovexattr/ &amp;&amp;(/ key= *[!-~]* *$/||/ -k *[!-~]* *$/)" /etc/audit/rules.d/*.rules | /bin/awk '{print} END {if (NR != 0) print "pass" ; else print "fail"}' || printf "ERROR: Variable 'UID_MIN' is unset.\n"' returned : 
awk: fatal: cannot open file `/etc/audit/rules.d/*.rules' for reading (Permission denied)
fail
-------------------------
FAILED - auditctl b32 lsetxattr
The command 'UID_MIN=$(awk '/^\s*UID_MIN/{print $2}' /etc/login.defs); [ -n "${UID_MIN}" ] &amp;&amp; awk "(/^ *-a *always,exit/||/^ *-a *exit,always/) &amp;&amp;/ -F *arch=b32/ &amp;&amp;(/ -F *auid!=unset/||/ -F *auid!=-1/||/ -F *auid!=4294967295/) &amp;&amp;/ -S/ &amp;&amp;/ -F *auid&gt;=${UID_MIN}/ &amp;&amp;/lsetxattr/ &amp;&amp;(/ key= *[!-~]* *$/||/ -k *[!-~]* *$/)" /etc/audit/rules.d/*.rules | /bin/awk '{print} END {if (NR != 0) print "pass" ; else print "fail"}' || printf "ERROR: Variable 'UID_MIN' is unset.\n"' returned : 
awk: fatal: cannot open file `/etc/audit/rules.d/*.rules' for reading (Permission denied)
fail
-------------------------
FAILED - auditctl b32 removexattr
The command 'UID_MIN=$(awk '/^\s*UID_MIN/{print $2}' /etc/login.defs); [ -n "${UID_MIN}" ] &amp;&amp; awk "(/^ *-a *always,exit/||/^ *-a *exit,always/) &amp;&amp;/ -F *arch=b32/ &amp;&amp;(/ -F *auid!=unset/||/ -F *auid!=-1/||/ -F *auid!=4294967295/) &amp;&amp;/ -S/ &amp;&amp;/ -F *auid&gt;=${UID_MIN}/ &amp;&amp;/removexattr/ &amp;&amp;(/ key= *[!-~]* *$/||/ -k *[!-~]* *$/)" /etc/audit/rules.d/*.rules | /bin/awk '{print} END {if (NR != 0) print "pass" ; else print "fail"}' || printf "ERROR: Variable 'UID_MIN' is unset.\n"' returned : 
awk: fatal: cannot open file `/etc/audit/rules.d/*.rules' for reading (Permission denied)
fail
-------------------------
FAILED - b32 chmod
The command 'UID_MIN=$(awk '/^\s*UID_MIN/{print $2}' /etc/login.defs); [ -n "${UID_MIN}" ] &amp;&amp; awk "(/^ *-a *always,exit/||/^ *-a *exit,always/) &amp;&amp;/ -F *arch=b32/ &amp;&amp;(/ -F *auid!=unset/||/ -F *auid!=-1/||/ -F *auid!=4294967295/) &amp;&amp;/ -S/ &amp;&amp;/ -F *auid&gt;=${UID_MIN}/ &amp;&amp;/chmod/ &amp;&amp;(/ key= *[!-~]* *$/||/ -k *[!-~]* *$/)" /etc/audit/rules.d/*.rules | /bin/awk '{print} END {if (NR != 0) print "pass" ; else print "fail"}' || printf "ERROR: Variable 'UID_MIN' is unset.\n"' returned : 
awk: fatal: cannot open file `/etc/audit/rules.d/*.rules' for reading (Permission denied)
fail
-------------------------
FAILED - auditctl b64 removexattr
The command 'UID_MIN=$(awk '/^\s*UID_MIN/{print $2}' /etc/login.defs); [ -n "${UID_MIN}" ] &amp;&amp; auditctl -l | awk "(/^ *-a *always,exit/||/^ *-a *exit,always/) &amp;&amp;/ -F *arch=b64/ &amp;&amp;(/ -F *auid!=unset/||/ -F *auid!=-1/||/ -F *auid!=4294967295/) &amp;&amp;/ -S/ &amp;&amp;/ -F *auid&gt;=${UID_MIN}/ &amp;&amp;/removexattr/ &amp;&amp;(/ key= *[!-~]* *$/||/ -k *[!-~]* *$/)" | /bin/awk '{print} END {if (NR != 0) print "pass" ; else print "fail"}' || printf "ERROR: Variable 'UID_MIN' is unset.\n"' returned : 
You must be root to run this program.
fail
-------------------------
FAILED - auditctl b64 fchmodat
The command 'UID_MIN=$(awk '/^\s*UID_MIN/{print $2}' /etc/login.defs); [ -n "${UID_MIN}" ] &amp;&amp; auditctl -l | awk "(/^ *-a *always,exit/||/^ *-a *exit,always/) &amp;&amp;/ -F *arch=b64/ &amp;&amp;(/ -F *auid!=unset/||/ -F *auid!=-1/||/ -F *auid!=4294967295/) &amp;&amp;/ -S/ &amp;&amp;/ -F *auid&gt;=${UID_MIN}/ &amp;&amp;/fchmodat/ &amp;&amp;(/ key= *[!-~]* *$/||/ -k *[!-~]* *$/)" | /bin/awk '{print} END {if (NR != 0) print "pass" ; else print "fail"}' || printf "ERROR: Variable 'UID_MIN' is unset.\n"' returned : 
You must be root to run this program.
fail
-------------------------
FAILED - auditctl b64 lchown
The command 'UID_MIN=$(awk '/^\s*UID_MIN/{print $2}' /etc/login.defs); [ -n "${UID_MIN}" ] &amp;&amp; auditctl -l | awk "(/^ *-a *always,exit/||/^ *-a *exit,always/) &amp;&amp;/ -F *arch=b64/ &amp;&amp;(/ -F *auid!=unset/||/ -F *auid!=-1/||/ -F *auid!=4294967295/) &amp;&amp;/ -S/ &amp;&amp;/ -F *auid&gt;=${UID_MIN}/ &amp;&amp;/lchown/ &amp;&amp;(/ key= *[!-~]* *$/||/ -k *[!-~]* *$/)" | /bin/awk '{print} END {if (NR != 0) print "pass" ; else print "fail"}' || printf "ERROR: Variable 'UID_MIN' is unset.\n"' returned : 
You must be root to run this program.
fail
-------------------------
FAILED - auditctl b32 lchown
The command 'UID_MIN=$(awk '/^\s*UID_MIN/{print $2}' /etc/login.defs); [ -n "${UID_MIN}" ] &amp;&amp; auditctl -l | awk "(/^ *-a *always,exit/||/^ *-a *exit,always/) &amp;&amp;/ -F *arch=b32/ &amp;&amp;(/ -F *auid!=unset/||/ -F *auid!=-1/||/ -F *auid!=4294967295/) &amp;&amp;/ -S/ &amp;&amp;/ -F *auid&gt;=${UID_MIN}/ &amp;&amp;/lchown/ &amp;&amp;(/ key= *[!-~]* *$/||/ -k *[!-~]* *$/)" | /bin/awk '{print} END {if (NR != 0) print "pass" ; else print "fail"}' || printf "ERROR: Variable 'UID_MIN' is unset.\n"' returned : 
You must be root to run this program.
fail
-------------------------
FAILED - auditctl b64 lremovexattr
The command 'UID_MIN=$(awk '/^\s*UID_MIN/{print $2}' /etc/login.defs); [ -n "${UID_MIN}" ] &amp;&amp; auditctl -l | awk "(/^ *-a *always,exit/||/^ *-a *exit,always/) &amp;&amp;/ -F *arch=b64/ &amp;&amp;(/ -F *auid!=unset/||/ -F *auid!=-1/||/ -F *auid!=4294967295/) &amp;&amp;/ -S/ &amp;&amp;/ -F *auid&gt;=${UID_MIN}/ &amp;&amp;/lremovexattr/ &amp;&amp;(/ key= *[!-~]* *$/||/ -k *[!-~]* *$/)" | /bin/awk '{print} END {if (NR != 0) print "pass" ; else print "fail"}' || printf "ERROR: Variable 'UID_MIN' is unset.\n"' returned : 
You must be root to run this program.
fail
-------------------------
FAILED - b32 fchownat
The command 'UID_MIN=$(awk '/^\s*UID_MIN/{print $2}' /etc/login.defs); [ -n "${UID_MIN}" ] &amp;&amp; awk "(/^ *-a *always,exit/||/^ *-a *exit,always/) &amp;&amp;/ -F *arch=b32/ &amp;&amp;(/ -F *auid!=unset/||/ -F *auid!=-1/||/ -F *auid!=4294967295/) &amp;&amp;/ -S/ &amp;&amp;/ -F *auid&gt;=${UID_MIN}/ &amp;&amp;/fchownat/ &amp;&amp;(/ key= *[!-~]* *$/||/ -k *[!-~]* *$/)" /etc/audit/rules.d/*.rules | /bin/awk '{print} END {if (NR != 0) print "pass" ; else print "fail"}' || printf "ERROR: Variable 'UID_MIN' is unset.\n"' returned : 
awk: fatal: cannot open file `/etc/audit/rules.d/*.rules' for reading (Permission denied)
fail
-------------------------
FAILED - auditctl b64 fchownat
The command 'UID_MIN=$(awk '/^\s*UID_MIN/{print $2}' /etc/login.defs); [ -n "${UID_MIN}" ] &amp;&amp; auditctl -l | awk "(/^ *-a *always,exit/||/^ *-a *exit,always/) &amp;&amp;/ -F *arch=b64/ &amp;&amp;(/ -F *auid!=unset/||/ -F *auid!=-1/||/ -F *auid!=4294967295/) &amp;&amp;/ -S/ &amp;&amp;/ -F *auid&gt;=${UID_MIN}/ &amp;&amp;/fchownat/ &amp;&amp;(/ key= *[!-~]* *$/||/ -k *[!-~]* *$/)" | /bin/awk '{print} END {if (NR != 0) print "pass" ; else print "fail"}' || printf "ERROR: Variable 'UID_MIN' is unset.\n"' returned : 
You must be root to run this program.
fail
-------------------------
FAILED - auditctl b32 lremovexattr
The command 'UID_MIN=$(awk '/^\s*UID_MIN/{print $2}' /etc/login.defs); [ -n "${UID_MIN}" ] &amp;&amp; auditctl -l | awk "(/^ *-a *always,exit/||/^ *-a *exit,always/) &amp;&amp;/ -F *arch=b32/ &amp;&amp;(/ -F *auid!=unset/||/ -F *auid!=-1/||/ -F *auid!=4294967295/) &amp;&amp;/ -S/ &amp;&amp;/ -F *auid&gt;=${UID_MIN}/ &amp;&amp;/lremovexattr/ &amp;&amp;(/ key= *[!-~]* *$/||/ -k *[!-~]* *$/)" | /bin/awk '{print} END {if (NR != 0) print "pass" ; else print "fail"}' || printf "ERROR: Variable 'UID_MIN' is unset.\n"' returned : 
You must be root to run this program.
fail
-------------------------
FAILED - b64 chown
The command 'UID_MIN=$(awk '/^\s*UID_MIN/{print $2}' /etc/login.defs); [ -n "${UID_MIN}" ] &amp;&amp; awk "(/^ *-a *always,exit/||/^ *-a *exit,always/) &amp;&amp;/ -F *arch=b64/ &amp;&amp;(/ -F *auid!=unset/||/ -F *auid!=-1/||/ -F *auid!=4294967295/) &amp;&amp;/ -S/ &amp;&amp;/ -F *auid&gt;=${UID_MIN}/ &amp;&amp;/chown/ &amp;&amp;(/ key= *[!-~]* *$/||/ -k *[!-~]* *$/)" /etc/audit/rules.d/*.rules | /bin/awk '{print} END {if (NR != 0) print "pass" ; else print "fail"}' || printf "ERROR: Variable 'UID_MIN' is unset.\n"' returned : 
awk: fatal: cannot open file `/etc/audit/rules.d/*.rules' for reading (Permission denied)
fail
-------------------------
FAILED - auditctl b32 fsetxattr
The command 'UID_MIN=$(awk '/^\s*UID_MIN/{print $2}' /etc/login.defs); [ -n "${UID_MIN}" ] &amp;&amp; auditctl -l | awk "(/^ *-a *always,exit/||/^ *-a *exit,always/) &amp;&amp;/ -F *arch=b32/ &amp;&amp;(/ -F *auid!=unset/||/ -F *auid!=-1/||/ -F *auid!=4294967295/) &amp;&amp;/ -S/ &amp;&amp;/ -F *auid&gt;=${UID_MIN}/ &amp;&amp;/fsetxattr/ &amp;&amp;(/ key= *[!-~]* *$/||/ -k *[!-~]* *$/)" | /bin/awk '{print} END {if (NR != 0) print "pass" ; else print "fail"}' || printf "ERROR: Variable 'UID_MIN' is unset.\n"' returned : 
You must be root to run this program.
fail
-------------------------
FAILED - b64 lchown
The command 'UID_MIN=$(awk '/^\s*UID_MIN/{print $2}' /etc/login.defs); [ -n "${UID_MIN}" ] &amp;&amp; awk "(/^ *-a *always,exit/||/^ *-a *exit,always/) &amp;&amp;/ -F *arch=b64/ &amp;&amp;(/ -F *auid!=unset/||/ -F *auid!=-1/||/ -F *auid!=4294967295/) &amp;&amp;/ -S/ &amp;&amp;/ -F *auid&gt;=${UID_MIN}/ &amp;&amp;/lchown/ &amp;&amp;(/ key= *[!-~]* *$/||/ -k *[!-~]* *$/)" /etc/audit/rules.d/*.rules | /bin/awk '{print} END {if (NR != 0) print "pass" ; else print "fail"}' || printf "ERROR: Variable 'UID_MIN' is unset.\n"' returned : 
awk: fatal: cannot open file `/etc/audit/rules.d/*.rules' for reading (Permission denied)
fail
-------------------------
FAILED - auditctl b64 setxattr
The command 'UID_MIN=$(awk '/^\s*UID_MIN/{print $2}' /etc/login.defs); [ -n "${UID_MIN}" ] &amp;&amp; auditctl -l | awk "(/^ *-a *always,exit/||/^ *-a *exit,always/) &amp;&amp;/ -F *arch=b64/ &amp;&amp;(/ -F *auid!=unset/||/ -F *auid!=-1/||/ -F *auid!=4294967295/) &amp;&amp;/ -S/ &amp;&amp;/ -F *auid&gt;=${UID_MIN}/ &amp;&amp;/setxattr/ &amp;&amp;(/ key= *[!-~]* *$/||/ -k *[!-~]* *$/)" | /bin/awk '{print} END {if (NR != 0) print "pass" ; else print "fail"}' || printf "ERROR: Variable 'UID_MIN' is unset.\n"' returned : 
You must be root to run this program.
fail
-------------------------
FAILED - auditctl b64 lsetxattr
The command 'UID_MIN=$(awk '/^\s*UID_MIN/{print $2}' /etc/login.defs); [ -n "${UID_MIN}" ] &amp;&amp; awk "(/^ *-a *always,exit/||/^ *-a *exit,always/) &amp;&amp;/ -F *arch=b64/ &amp;&amp;(/ -F *auid!=unset/||/ -F *auid!=-1/||/ -F *auid!=4294967295/) &amp;&amp;/ -S/ &amp;&amp;/ -F *auid&gt;=${UID_MIN}/ &amp;&amp;/lsetxattr/ &amp;&amp;(/ key= *[!-~]* *$/||/ -k *[!-~]* *$/)" /etc/audit/rules.d/*.rules | /bin/awk '{print} END {if (NR != 0) print "pass" ; else print "fail"}' || printf "ERROR: Variable 'UID_MIN' is unset.\n"' returned : 
awk: fatal: cannot open file `/etc/audit/rules.d/*.rules' for reading (Permission denied)
fail
-------------------------
FAILED - b64 chmod
The command 'UID_MIN=$(awk '/^\s*UID_MIN/{print $2}' /etc/login.defs); [ -n "${UID_MIN}" ] &amp;&amp; awk "(/^ *-a *always,exit/||/^ *-a *exit,always/) &amp;&amp;/ -F *arch=b64/ &amp;&amp;(/ -F *auid!=unset/||/ -F *auid!=-1/||/ -F *auid!=4294967295/) &amp;&amp;/ -S/ &amp;&amp;/ -F *auid&gt;=${UID_MIN}/ &amp;&amp;/chmod/ &amp;&amp;(/ key= *[!-~]* *$/||/ -k *[!-~]* *$/)" /etc/audit/rules.d/*.rules | /bin/awk '{print} END {if (NR != 0) print "pass" ; else print "fail"}' || printf "ERROR: Variable 'UID_MIN' is unset.\n"' returned : 
awk: fatal: cannot open file `/etc/audit/rules.d/*.rules' for reading (Permission denied)
fail
-------------------------
FAILED - auditctl b32 lsetxattr
The command 'UID_MIN=$(awk '/^\s*UID_MIN/{print $2}' /etc/login.defs); [ -n "${UID_MIN}" ] &amp;&amp; auditctl -l | awk "(/^ *-a *always,exit/||/^ *-a *exit,always/) &amp;&amp;/ -F *arch=b32/ &amp;&amp;(/ -F *auid!=unset/||/ -F *auid!=-1/||/ -F *auid!=4294967295/) &amp;&amp;/ -S/ &amp;&amp;/ -F *auid&gt;=${UID_MIN}/ &amp;&amp;/lsetxattr/ &amp;&amp;(/ key= *[!-~]* *$/||/ -k *[!-~]* *$/)" | /bin/awk '{print} END {if (NR != 0) print "pass" ; else print "fail"}' || printf "ERROR: Variable 'UID_MIN' is unset.\n"' returned : 
You must be root to run this program.
fail</t>
  </si>
  <si>
    <t>Monitor changes to file permissions, attributes, ownership and group. The parameters in this section track changes for system calls that affect file permissions and attributes. The following commands and system calls effect the permissions, ownership and various attributes of files.
 - chmod
 - fchmod
 - fchmodat
 - chown
 - fchown
 - fchownat
 - lchown
 - setxattr
 - lsetxattr
 - fsetxattr
 - removexattr
 - lremovexattr
 - fremovexattr
In all cases, an audit record will only be written for non-system user ids and will ignore Daemon events. All audit records will be tagged with the identifier "perm_mod."
Monitoring for changes in file attributes could alert a system administrator to activity that could indicate intruder activity or policy violation.</t>
  </si>
  <si>
    <t>Create audit rules
Edit or create a file in the /etc/audit/rules.d/ directory, ending inrules extension, with the relevant rules to monitor discretionary access control permission modification events.
64 Bit systems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</si>
  <si>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800-171|3.3.1, 800-171|3.3.2, 800-171|3.3.6, 800-53|AU-3, 800-53|AU-3(1), 800-53|AU-7, 800-53|AU-12, 800-53r5|AU-3, 800-53r5|AU-3(1), 800-53r5|AU-7, 800-53r5|AU-12, CN-L3|7.1.2.3(a), CN-L3|7.1.2.3(b), CN-L3|7.1.2.3(c), CN-L3|7.1.3.3(a), CN-L3|7.1.3.3(b), CN-L3|8.1.4.3(b), CSCv7|5.5,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</si>
  <si>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5.2.3.8 Ensure events that modify user/group information are collected</t>
  </si>
  <si>
    <t>'All of the following must pass to satisfy this requirement:
-------------------------
FAILED - /etc/shadow
The command '/bin/awk '/^ *-w/ &amp;&amp;/\/etc\/shadow/ &amp;&amp;/ +-p *wa/  &amp;&amp;(/ key= *[!-~]* *$/||/ -k *[!-~]* *$/)' /etc/audit/rules.d/*.rules | /bin/awk '{print} END {if (NR != 0) print "pass" ; else print "fail"}'' returned : 
awk: fatal: cannot open file `/etc/audit/rules.d/*.rules' for reading (Permission denied)
fail
-------------------------
FAILED - /etc/gshadow
The command '/bin/awk '/^ *-w/ &amp;&amp;/\/etc\/gshadow/ &amp;&amp;/ +-p *wa/  &amp;&amp;(/ key= *[!-~]* *$/||/ -k *[!-~]* *$/)' /etc/audit/rules.d/*.rules | /bin/awk '{print} END {if (NR != 0) print "pass" ; else print "fail"}'' returned : 
awk: fatal: cannot open file `/etc/audit/rules.d/*.rules' for reading (Permission denied)
fail
-------------------------
FAILED - /etc/group
The command '/bin/awk '/^ *-w/ &amp;&amp;/\/etc\/group/ &amp;&amp;/ +-p *wa/  &amp;&amp;(/ key= *[!-~]* *$/||/ -k *[!-~]* *$/)' /etc/audit/rules.d/*.rules | /bin/awk '{print} END {if (NR != 0) print "pass" ; else print "fail"}'' returned : 
awk: fatal: cannot open file `/etc/audit/rules.d/*.rules' for reading (Permission denied)
fail
-------------------------
FAILED - /etc/passwd
The command '/bin/awk '/^ *-w/ &amp;&amp;/\/etc\/passwd/ &amp;&amp;/ +-p *wa/  &amp;&amp;(/ key= *[!-~]* *$/||/ -k *[!-~]* *$/)' /etc/audit/rules.d/*.rules | /bin/awk '{print} END {if (NR != 0) print "pass" ; else print "fail"}'' returned : 
awk: fatal: cannot open file `/etc/audit/rules.d/*.rules' for reading (Permission denied)
fail
-------------------------
FAILED - auditctl /etc/security/opasswd
The command 'auditctl -l | /bin/awk '/^ *-w/ &amp;&amp;/\/etc\/security\/opasswd/ &amp;&amp;/ +-p *wa/  &amp;&amp;(/ key= *[!-~]* *$/||/ -k *[!-~]* *$/)' | /bin/awk '{print} END {if (NR != 0) print "pass" ; else print "fail"}'' returned : 
You must be root to run this program.
fail
-------------------------
FAILED - auditctl /etc/group
The command 'auditctl -l | /bin/awk '/^ *-w/ &amp;&amp;/\/etc\/group/ &amp;&amp;/ +-p *wa/  &amp;&amp;(/ key= *[!-~]* *$/||/ -k *[!-~]* *$/)' | /bin/awk '{print} END {if (NR != 0) print "pass" ; else print "fail"}'' returned : 
You must be root to run this program.
fail
-------------------------
FAILED - auditctl /etc/shadow
The command 'auditctl -l | /bin/awk '/^ *-w/ &amp;&amp;/\/etc\/shadow/ &amp;&amp;/ +-p *wa/  &amp;&amp;(/ key= *[!-~]* *$/||/ -k *[!-~]* *$/)' | /bin/awk '{print} END {if (NR != 0) print "pass" ; else print "fail"}'' returned : 
You must be root to run this program.
fail
-------------------------
FAILED - auditctl /etc/passwd
The command 'auditctl -l | /bin/awk '/^ *-w/ &amp;&amp;/\/etc\/passwd/ &amp;&amp;/ +-p *wa/  &amp;&amp;(/ key= *[!-~]* *$/||/ -k *[!-~]* *$/)' | /bin/awk '{print} END {if (NR != 0) print "pass" ; else print "fail"}'' returned : 
You must be root to run this program.
fail
-------------------------
FAILED - /etc/security/opasswd
The command '/bin/awk '/^ *-w/ &amp;&amp;/\/etc\/security\/opasswd/ &amp;&amp;/ +-p *wa/  &amp;&amp;(/ key= *[!-~]* *$/||/ -k *[!-~]* *$/)' /etc/audit/rules.d/*.rules | /bin/awk '{print} END {if (NR != 0) print "pass" ; else print "fail"}'' returned : 
awk: fatal: cannot open file `/etc/audit/rules.d/*.rules' for reading (Permission denied)
fail
-------------------------
FAILED - auditctl /etc/gshadow
The command 'auditctl -l | /bin/awk '/^ *-w/ &amp;&amp;/\/etc\/gshadow/ &amp;&amp;/ +-p *wa/  &amp;&amp;(/ key= *[!-~]* *$/||/ -k *[!-~]* *$/)' | /bin/awk '{print} END {if (NR != 0) print "pass" ; else print "fail"}'' returned : 
You must be root to run this program.
fail</t>
  </si>
  <si>
    <t>Record events affecting the modification of user or group information, including that of passwords and old passwords if in use.
 - /etc/group - system groups
 - /etc/passwd - system users
 - /etc/gshadow - encrypted password for each group
 - /etc/shadow - system user passwords
 - /etc/security/opasswd - storage of old passwords if the relevant PAM module is in use
The parameters in this section will watch the files to see if they have been opened for write or have had attribute changes (e.g. permissions) and tag them with the identifier "identity" in the audit log file.
Unexpected changes to these files could be an indication that the system has been compromised and that an unauthorized user is attempting to hide their activities or compromise additional accounts.</t>
  </si>
  <si>
    <t>Edit or create a file in the /etc/audit/rules.d/ directory, ending inrules extension, with the relevant rules to monitor events that modify user/group information.
Example:
# printf "
-w /etc/group -p wa -k identity
-w /etc/passwd -p wa -k identity
-w /etc/gshadow -p wa -k identity
-w /etc/shadow -p wa -k identity
-w /etc/security/opasswd -p wa -k identity
" &gt;&gt; /etc/audit/rules.d/50-identity.rules
Merge and load the rules into active configuration:
# augenrules --load
Check if reboot is required.
# if [[ $(auditctl -s | grep "enabled") =~ "2" ]]; then printf "Reboot required to load rules
"; fi</t>
  </si>
  <si>
    <t>800-171|3.3.1, 800-171|3.3.2, 800-171|3.3.6, 800-53|AU-3, 800-53|AU-3(1), 800-53|AU-7, 800-53|AU-12, 800-53r5|AU-3, 800-53r5|AU-3(1), 800-53r5|AU-7, 800-53r5|AU-12, CN-L3|7.1.2.3(a), CN-L3|7.1.2.3(b), CN-L3|7.1.2.3(c), CN-L3|7.1.3.3(a), CN-L3|7.1.3.3(b), CN-L3|8.1.4.3(b), CSCv7|4.8,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</si>
  <si>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5.2.3.7 Ensure unsuccessful file access attempts are collected</t>
  </si>
  <si>
    <t>'All of the following must pass to satisfy this requirement:
-------------------------
FAILED - auditctl b32 EPERM
The command 'UID_MIN=$(awk '/^\s*UID_MIN/{print $2}' /etc/login.defs); [ -n "${UID_MIN}" ] &amp;&amp; auditctl -l | awk "(/^ *-a *always,exit/||/^ *-a *exit,always/) &amp;&amp;/ -F *arch=b32/ &amp;&amp;(/ -F *auid!=unset/||/ -F *auid!=-1/||/ -F *auid!=4294967295/) &amp;&amp;/ -F *auid&gt;=${UID_MIN}/ &amp;&amp;/ -F *exit=-EPERM/ &amp;&amp;/ -S/ &amp;&amp;/creat/ &amp;&amp;/open/ &amp;&amp;/truncate/ &amp;&amp;(/ key= *[!-~]* *$/||/ -k *[!-~]* *$/)" | /bin/awk '{print} END {if (NR != 0) print "pass" ; else print "fail"}' || printf "ERROR: Variable 'UID_MIN' is unset.\n"' returned : 
You must be root to run this program.
fail
-------------------------
FAILED - auditctl b64 EACCES
The command 'UID_MIN=$(awk '/^\s*UID_MIN/{print $2}' /etc/login.defs); [ -n "${UID_MIN}" ] &amp;&amp; auditctl -l | awk "(/^ *-a *always,exit/||/^ *-a *exit,always/) &amp;&amp;/ -F *arch=b64/ &amp;&amp;(/ -F *auid!=unset/||/ -F *auid!=-1/||/ -F *auid!=4294967295/) &amp;&amp;/ -F *auid&gt;=${UID_MIN}/ &amp;&amp;/ -F *exit=-EACCES/ &amp;&amp;/ -S/ &amp;&amp;/creat/ &amp;&amp;/open/ &amp;&amp;/truncate/ &amp;&amp;(/ key= *[!-~]* *$/||/ -k *[!-~]* *$/)" | /bin/awk '{print} END {if (NR != 0) print "pass" ; else print "fail"}' || printf "ERROR: Variable 'UID_MIN' is unset.\n"' returned : 
You must be root to run this program.
fail
-------------------------
FAILED - auditctl b64 EPERM
The command 'UID_MIN=$(awk '/^\s*UID_MIN/{print $2}' /etc/login.defs); [ -n "${UID_MIN}" ] &amp;&amp; auditctl -l | awk "(/^ *-a *always,exit/||/^ *-a *exit,always/) &amp;&amp;/ -F *arch=b64/ &amp;&amp;(/ -F *auid!=unset/||/ -F *auid!=-1/||/ -F *auid!=4294967295/) &amp;&amp;/ -F *auid&gt;=${UID_MIN}/ &amp;&amp;/ -F *exit=-EPERM/ &amp;&amp;/ -S/ &amp;&amp;/creat/ &amp;&amp;/open/ &amp;&amp;/truncate/ &amp;&amp;(/ key= *[!-~]* *$/||/ -k *[!-~]* *$/)" | /bin/awk '{print} END {if (NR != 0) print "pass" ; else print "fail"}' || printf "ERROR: Variable 'UID_MIN' is unset.\n"' returned : 
You must be root to run this program.
fail
-------------------------
FAILED - auditctl b32 EACCES
The command 'UID_MIN=$(awk '/^\s*UID_MIN/{print $2}' /etc/login.defs); [ -n "${UID_MIN}" ] &amp;&amp; auditctl -l | awk "(/^ *-a *always,exit/||/^ *-a *exit,always/) &amp;&amp;/ -F *arch=b32/ &amp;&amp;(/ -F *auid!=unset/||/ -F *auid!=-1/||/ -F *auid!=4294967295/) &amp;&amp;/ -F *auid&gt;=${UID_MIN}/ &amp;&amp;/ -F *exit=-EACCES/ &amp;&amp;/ -S/ &amp;&amp;/creat/ &amp;&amp;/open/ &amp;&amp;/truncate/ &amp;&amp;(/ key= *[!-~]* *$/||/ -k *[!-~]* *$/)" | /bin/awk '{print} END {if (NR != 0) print "pass" ; else print "fail"}' || printf "ERROR: Variable 'UID_MIN' is unset.\n"' returned : 
You must be root to run this program.
fail
-------------------------
FAILED - b64 EPERM
The command 'UID_MIN=$(awk '/^\s*UID_MIN/{print $2}' /etc/login.defs); [ -n "${UID_MIN}" ] &amp;&amp; awk "(/^ *-a *always,exit/||/^ *-a *exit,always/) &amp;&amp;/ -F *arch=b64/ &amp;&amp;(/ -F *auid!=unset/||/ -F *auid!=-1/||/ -F *auid!=4294967295/) &amp;&amp;/ -F *auid&gt;=${UID_MIN}/ &amp;&amp;/ -F *exit=-EPERM/ &amp;&amp;/ -S/ &amp;&amp;/creat/ &amp;&amp;/open/ &amp;&amp;/truncate/ &amp;&amp;(/ key= *[!-~]* *$/||/ -k *[!-~]* *$/)" /etc/audit/rules.d/*.rules | /bin/awk '{print} END {if (NR != 0) print "pass" ; else print "fail"}' || printf "ERROR: Variable 'UID_MIN' is unset.\n"' returned : 
awk: fatal: cannot open file `/etc/audit/rules.d/*.rules' for reading (Permission denied)
fail
-------------------------
FAILED - b32 EACCES
The command 'UID_MIN=$(awk '/^\s*UID_MIN/{print $2}' /etc/login.defs); [ -n "${UID_MIN}" ] &amp;&amp; awk "(/^ *-a *always,exit/||/^ *-a *exit,always/) &amp;&amp;/ -F *arch=b32/ &amp;&amp;(/ -F *auid!=unset/||/ -F *auid!=-1/||/ -F *auid!=4294967295/) &amp;&amp;/ -F *auid&gt;=${UID_MIN}/ &amp;&amp;/ -F *exit=-EACCES/ &amp;&amp;/ -S/ &amp;&amp;/creat/ &amp;&amp;/open/ &amp;&amp;/truncate/ &amp;&amp;(/ key= *[!-~]* *$/||/ -k *[!-~]* *$/)" /etc/audit/rules.d/*.rules | /bin/awk '{print} END {if (NR != 0) print "pass" ; else print "fail"}' || printf "ERROR: Variable 'UID_MIN' is unset.\n"' returned : 
awk: fatal: cannot open file `/etc/audit/rules.d/*.rules' for reading (Permission denied)
fail
-------------------------
FAILED - b32 EPERM
The command 'UID_MIN=$(awk '/^\s*UID_MIN/{print $2}' /etc/login.defs); [ -n "${UID_MIN}" ] &amp;&amp; awk "(/^ *-a *always,exit/||/^ *-a *exit,always/) &amp;&amp;/ -F *arch=b32/ &amp;&amp;(/ -F *auid!=unset/||/ -F *auid!=-1/||/ -F *auid!=4294967295/) &amp;&amp;/ -F *auid&gt;=${UID_MIN}/ &amp;&amp;/ -F *exit=-EPERM/ &amp;&amp;/ -S/ &amp;&amp;/creat/ &amp;&amp;/open/ &amp;&amp;/truncate/ &amp;&amp;(/ key= *[!-~]* *$/||/ -k *[!-~]* *$/)" /etc/audit/rules.d/*.rules | /bin/awk '{print} END {if (NR != 0) print "pass" ; else print "fail"}' || printf "ERROR: Variable 'UID_MIN' is unset.\n"' returned : 
awk: fatal: cannot open file `/etc/audit/rules.d/*.rules' for reading (Permission denied)
fail
-------------------------
FAILED - b64 EACCES
The command 'UID_MIN=$(awk '/^\s*UID_MIN/{print $2}' /etc/login.defs); [ -n "${UID_MIN}" ] &amp;&amp; awk "(/^ *-a *always,exit/||/^ *-a *exit,always/) &amp;&amp;/ -F *arch=b64/ &amp;&amp;(/ -F *auid!=unset/||/ -F *auid!=-1/||/ -F *auid!=4294967295/) &amp;&amp;/ -F *auid&gt;=${UID_MIN}/ &amp;&amp;/ -F *exit=-EACCES/ &amp;&amp;/ -S/ &amp;&amp;/creat/ &amp;&amp;/open/ &amp;&amp;/truncate/ &amp;&amp;(/ key= *[!-~]* *$/||/ -k *[!-~]* *$/)" /etc/audit/rules.d/*.rules | /bin/awk '{print} END {if (NR != 0) print "pass" ; else print "fail"}' || printf "ERROR: Variable 'UID_MIN' is unset.\n"' returned : 
awk: fatal: cannot open file `/etc/audit/rules.d/*.rules' for reading (Permission denied)
fail</t>
  </si>
  <si>
    <t>Monitor for unsuccessful attempts to access files. The following parameters are associated with system calls that control files:
 - creation - creat
 - opening - open openat
 - truncation - truncate ftruncate
An audit log record will only be written if all of the following criteria is met for the user when trying to access a file:
 - a non-privileged user (auid&gt;=UID_MIN)
 - is not a Daemon event (auid=4294967295/unset/-1)
 - if the system call returned EACCES (permission denied) or EPERM (some other permanent error associated with the specific system call)
Failed attempts to open, create or truncate files could be an indication that an individual or process is trying to gain unauthorized access to the system.</t>
  </si>
  <si>
    <t>Create audit rules
Edit or create a file in the /etc/audit/rules.d/ directory, ending inrules extension, with the relevant rules to monitor unsuccessful file access attempts.
64 Bit systems
Example:
# {
UID_MIN=$(awk '/^s*UID_MIN/{print $2}' /etc/login.defs)
[ -n "${UID_MIN}" ] &amp;&amp; printf "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 &gt;&gt; /etc/audit/rules.d/50-access.rules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</si>
  <si>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800-171|3.3.1, 800-171|3.3.2, 800-171|3.3.6, 800-53|AU-3, 800-53|AU-3(1), 800-53|AU-7, 800-53|AU-12, 800-53r5|AU-3, 800-53r5|AU-3(1), 800-53r5|AU-7, 800-53r5|AU-12, CN-L3|7.1.2.3(a), CN-L3|7.1.2.3(b), CN-L3|7.1.2.3(c), CN-L3|7.1.3.3(a), CN-L3|7.1.3.3(b), CN-L3|8.1.4.3(b), CSCv7|14.9,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</si>
  <si>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5.2.3.6 Ensure use of privileged commands are collected</t>
  </si>
  <si>
    <t>'All of the following must pass to satisfy this requirement:
-------------------------
FAILED - auditctl
The command 'RUNNING=$(/sbin/auditctl -l); [ -n "${RUNNING}" ] &amp;&amp; for PARTITION in $(/bin/findmnt -n -l -k -it $(/bin/awk '/nodev/ { print $2 }' /proc/filesystems | paste -sd,) | /bin/grep -Pv "noexec|nosuid" | /bin/awk '{print $1}'); do for PRIVILEGED in $(/bin/find "${PARTITION}" -xdev -perm /6000 -type f); do printf -- "${RUNNING}" | /bin/grep -q "${PRIVILEGED}" &amp;&amp; printf "OK: '${PRIVILEGED}' found in auditing rules.\n" || printf "Warning: '${PRIVILEGED}' not found in running configuration.\n"; done; done | /bin/awk '{print} END { if ($1 ~ "Warning") print "Fail - Warnings found"; else print "Pass - No warning entries found" }'' returned : 
You must be root to run this program.
-------------------------
FAILED - /etc/audit/rules.d
The command 'for PARTITION in $(/bin/findmnt -n -l -k -it $(/bin/awk '/nodev/ { print $2 }' /proc/filesystems | paste -sd,) | /bin/grep -Pv "noexec|nosuid" | /bin/awk '{print $1}'); do for PRIVILEGED in $(/bin/find "${PARTITION}" -xdev -perm /6000 -type f); do /bin/grep -qr "${PRIVILEGED}" /etc/audit/rules.d &amp;&amp; printf "OK: '${PRIVILEGED}' found in auditing rules.\n" || printf "Warning: '${PRIVILEGED}' not found in on disk configuration.\n"; done; done | /bin/awk '{print} END { if ($1 ~ "Warning") print "Fail - Warnings found"; else print "Pass - No warning entries found" }'' returned : 
/bin/find: '/etc/grub.d': Permission denied
/bin/find: '/etc/pki/CA/private': Permission denied
/bin/find: '/etc/pki/rsyslog': Permission denied
/bin/find: '/etc/lvm/archive': Permission denied
/bin/find: '/etc/lvm/backup': Permission denied
/bin/find: '/etc/lvm/cache': Permission denied
/bin/find: '/etc/polkit-1/rules.d': Permission denied
/bin/find: '/etc/polkit-1/localauthority': Permission denied
/bin/find: '/etc/cron.hourly': Permission denied
/bin/find: '/etc/cron.weekly': Permission denied
/bin/find: '/etc/cron.d': Permission denied
/bin/find: '/etc/cron.monthly': Permission denied
/bin/find: '/etc/dhcp': Permission denied
/bin/find: '/etc/selinux/targeted/active': Permission denied
/bin/find: '/etc/selinux/final': Permission denied
/bin/find: '/etc/firewalld': Permission denied
/bin/find: '/etc/cron.daily': Permission denied
/bin/find: '/etc/audisp': Permission denied
/bin/find: '/etc/audit': Permission denied
/bin/find: '/etc/sudoers.d': Permission denied
/bin/find: '/etc/dhcp.backup.20251111_125826': Permission denied
/bin/find: '/etc/sudoers.d.backup.20251111_125948': Permission denied
/bin/find: '/root': Permission denied
/bin/find: '/usr/share/polkit-1/rules.d': Permission denied
/bin/find: '/usr/libexec/initscripts/legacy-actions/auditd': Permission denied
/bin/find: '/var.old/tmp/systemd-private-9680f3bd2f954ad1b0b8534a2ca117de-chronyd.service-c1Q1ch': Permission denied
/bin/find: '/var.old/lib/yum/history/2025-10-09/1': Permission denied
/bin/find: '/var.old/lib/yum/history/2025-10-09/2': Permission denied
/bin/find: '/var.old/lib/yum/history/2025-10-09/3': Permission denied
/bin/find: '/var.old/lib/machines': Permission denied
/bin/find: '/var.old/lib/polkit-1': Permission denied
/bin/find: '/var.old/lib/NetworkManager': Permission denied
/bin/find: '/var.old/lib/authconfig': Permission denied
/bin/find: '/var.old/lib/postfix': Permission denied
/bin/find: '/var.old/lib/rsyslog': Permission denied
/bin/find: '/var.old/log/audit': Permission denied
/bin/find: '/var.old/cache/ldconfig': Permission denied
/bin/find: '/var.old/db/sudo': Permission denied
/bin/find: '/var.old/empty/sshd': Permission denied
/bin/find: '/var.old/spool/cron': Permission denied
/bin/find: '/var.old/spool/up2date': Permission denied
/bin/find: '/var.old/spool/postfix/active': Permission denied
/bin/find: '/var.old/spool/postfix/bounce': Permission denied
/bin/find: '/var.old/spool/postfix/corrupt': Permission denied
/bin/find: '/var.old/spool/postfix/defer': Permission denied
/bin/find: '/var.old/spool/postfix/deferred': Permission denied
/bin/find: '/var.old/spool/postfix/flush': Permission denied
/bin/find: '/var.old/spool/postfix/hold': Permission denied
/bin/find: '/var.old/spool/postfix/incoming': Permission denied
/bin/find: '/var.old/spool/postfix/maildrop': Permission denied
/bin/find: '/var.old/spool/postfix/private': Permission denied
/bin/find: '/var.old/spool/postfix/public': Permission denied
/bin/find: '/var.old/spool/postfix/saved': Permission denied
/bin/find: '/var.old/spool/postfix/trace': Permission denied
/bin/find: '/var_tmp_emergency_backup_20251111_125641/systemd-private-9680f3bd2f954ad1b0b8534a2ca117de-chronyd.service-c1Q1ch':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/bin/grep: /etc/audit/rules.d: Permission denied
/bin/find: '/boot/efi/EFI/redhat': Permission denied
/bin/find: '/boot/grub2': Permission denied
Warning: '/usr/bin/wall' not found in on disk configuration.
Warning: '/usr/bin/fusermount' not found in on disk configuration.
Warning: '/usr/bin/chfn' not found in on disk configuration.
Warning: '/usr/bin/chsh' not found in on disk configuration.
Warning: '/usr/bin/chage' not found in on disk configuration.
Warning: '/usr/bin/gpasswd' not found in on disk configuration.
Warning: '/usr/bin/newgrp' not found in on disk configuration.
Warning: '/usr/bin/mount' not found in on disk configuration.
Warning: '/usr/bin/su' not found in on disk configuration.
Warning: '/usr/bin/umount' not found in on disk configuration.
Warning: '/usr/bin/passwd' not found in on disk configuration.
Warning: '/usr/bin/write' not found in on disk configuration.
Warning: '/usr/bin/sudo' not found in on disk configuration.
Warning: '/usr/bin/pkexec' not found in on disk configuration.
Warning: '/usr/bin/crontab' not found in on disk configuration.
Warning: '/usr/bin/ssh-agent' not found in on disk configuration.
Warning: '/usr/sbin/unix_chkpwd' not found in on disk configuration.
Warning: '/usr/sbin/pam_timestamp_check' not found in on disk configuration.
Warning: '/usr/sbin/netreport' not found in on disk configuration.
Warning: '/usr/sbin/usernetctl' not found in on disk configuration.
Warning: '/usr/sbin/userhelper' not found in on disk configuration.
Warning: '/usr/sbin/postdrop' not found in on disk configuration.
Warning: '/usr/sbin/postqueue' not found in on disk configuration.
Warning: '/usr/lib/polkit-1/polkit-agent-helper-1' not found in on disk configuration.
Warning: '/usr/libexec/utempter/utempter' not found in on disk configuration.
Warning: '/usr/libexec/dbus-1/dbus-daemon-launch-helper' not found in on disk configuration.
Warning: '/usr/libexec/openssh/ssh-keysign' not found in on disk configuration.
Fail - Warnings found</t>
  </si>
  <si>
    <t>Monitor privileged programs, those that have the setuid and/or setgid bit set on execution, to determine if unprivileged users are running these commands.
Execution of privileged commands by non-privileged users could be an indication of someone trying to gain unauthorized access to the system.</t>
  </si>
  <si>
    <t>Edit or create a file in the /etc/audit/rules.d/ directory, ending inrules extension, with the relevant rules to monitor the use of privileged commands.
Example:
#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
' "${COMBINED_DATA[@]}" | sort -u &gt; "${AUDIT_RULE_FILE}"
}
Merge and load the rules into active configuration:
# augenrules --load
Check if reboot is required.
# if [[ $(auditctl -s | grep "enabled") =~ "2" ]]; then printf "Reboot required to load rules
"; fi
Special mount points
If there are any special mount points that are not visible by default from just scanning / change the PARTITION variable to the appropriate partition and re-run the remediation.
Impact:
Both the audit and remediation section of this recommendation will traverse all mounted file systems that is not mounted with either noexec or nosuid mount options. If there are large file systems without these mount options, such traversal will be significantly detrimental to the performance of the system.
Before running either the audit or remediation section, inspect the output of the following command to determine exactly which file systems will be traversed:
# findmnt -n -l -k -it $(awk '/nodev/ { print $2 }' /proc/filesystems | paste -sd,) | grep -Pv "noexec|nosuid"
To exclude a particular file system due to adverse performance impacts, update the audit and remediation sections by adding a sufficiently unique string to the grep statement. The above command can be used to test the modified exclusions.</t>
  </si>
  <si>
    <t>800-171|3.3.1, 800-171|3.3.2, 800-171|3.3.6, 800-53|AU-3, 800-53|AU-3(1), 800-53|AU-7, 800-53|AU-12, 800-53r5|AU-3, 800-53r5|AU-3(1), 800-53r5|AU-7, 800-53r5|AU-12, CN-L3|7.1.2.3(a), CN-L3|7.1.2.3(b), CN-L3|7.1.2.3(c), CN-L3|7.1.3.3(a), CN-L3|7.1.3.3(b), CN-L3|8.1.4.3(b), CSCv7|6.2,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</si>
  <si>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5.2.3.5 Ensure events that modify the system's network environment are collected</t>
  </si>
  <si>
    <t>'All of the following must pass to satisfy this requirement:
-------------------------
FAILED - auditctl /etc/issue
The command '/sbin/auditctl -l | /bin/awk '/^ *-w/ &amp;&amp;/\/etc\/issue/ &amp;&amp;/ +-p *wa/ &amp;&amp;(/ key= *[!-~]* *$/||/ -k *[!-~]* *$/)' | /bin/awk '{print} END {if (NR != 0) print "pass" ; else print "fail"}'' returned : 
You must be root to run this program.
fail
-------------------------
FAILED - /etc/issue.net
The command '/bin/awk '/^ *-w/ &amp;&amp;/\/etc\/issue.net/ &amp;&amp;/ +-p *wa/ &amp;&amp;(/ key= *[!-~]* *$/||/ -k *[!-~]* *$/)' /etc/audit/rules.d/*.rules | /bin/awk '{print} END {if (NR != 0) print "pass" ; else print "fail"}'' returned : 
awk: fatal: cannot open file `/etc/audit/rules.d/*.rules' for reading (Permission denied)
fail
-------------------------
FAILED - auditctl b64 sethostname
The command '/sbin/auditctl -l | /bin/awk '(/^ *-a *always,exit/||/^ *-a *exit,always/) &amp;&amp;/ -F *arch=b64/ &amp;&amp;/ -S/ &amp;&amp;/sethostname/ &amp;&amp;(/ key= *[!-~]* *$/||/ -k *[!-~]* *$/)' | /bin/awk '{print} END {if (NR != 0) print "pass" ; else print "fail"}'' returned : 
You must be root to run this program.
fail
-------------------------
FAILED - /etc/issue
The command '/bin/awk '/^ *-w/ &amp;&amp;/\/etc\/issue/ &amp;&amp;/ +-p *wa/ &amp;&amp;(/ key= *[!-~]* *$/||/ -k *[!-~]* *$/)' /etc/audit/rules.d/*.rules | /bin/awk '{print} END {if (NR != 0) print "pass" ; else print "fail"}'' returned : 
awk: fatal: cannot open file `/etc/audit/rules.d/*.rules' for reading (Permission denied)
fail
-------------------------
FAILED - auditctl b32 sethostname
The command '/sbin/auditctl -l | /bin/awk '(/^ *-a *always,exit/||/^ *-a *exit,always/) &amp;&amp;/ -F *arch=b32/ &amp;&amp;/ -S/ &amp;&amp;/sethostname/ &amp;&amp;(/ key= *[!-~]* *$/||/ -k *[!-~]* *$/)' | /bin/awk '{print} END {if (NR != 0) print "pass" ; else print "fail"}'' returned : 
You must be root to run this program.
fail
-------------------------
FAILED - /etc/sysconfig/network-scripts
The command '/bin/awk '/^ *-w/ &amp;&amp;/\/etc\/sysconfig\/network-scripts/ &amp;&amp;/ +-p *wa/ &amp;&amp;(/ key= *[!-~]* *$/||/ -k *[!-~]* *$/)' /etc/audit/rules.d/*.rules | /bin/awk '{print} END {if (NR != 0) print "pass" ; else print "fail"}'' returned : 
awk: fatal: cannot open file `/etc/audit/rules.d/*.rules' for reading (Permission denied)
fail
-------------------------
FAILED - auditctl /etc/issue.net
The command '/sbin/auditctl -l | /bin/awk '/^ *-w/ &amp;&amp;/\/etc\/issue.net/ &amp;&amp;/ +-p *wa/ &amp;&amp;(/ key= *[!-~]* *$/||/ -k *[!-~]* *$/)' | /bin/awk '{print} END {if (NR != 0) print "pass" ; else print "fail"}'' returned : 
You must be root to run this program.
fail
-------------------------
FAILED - auditctl /etc/sysconfig/network-scripts
The command '/sbin/auditctl -l | /bin/awk '/^ *-w/ &amp;&amp;/\/etc\/sysconfig\/network-scripts/ &amp;&amp;/ +-p *wa/ &amp;&amp;(/ key= *[!-~]* *$/||/ -k *[!-~]* *$/)' | /bin/awk '{print} END {if (NR != 0) print "pass" ; else print "fail"}'' returned : 
You must be root to run this program.
fail
-------------------------
FAILED - /etc/sysconfig/network
The command '/bin/awk '/^ *-w/ &amp;&amp;/\/etc\/sysconfig\/network/ &amp;&amp;/ +-p *wa/ &amp;&amp;(/ key= *[!-~]* *$/||/ -k *[!-~]* *$/)' /etc/audit/rules.d/*.rules | /bin/awk '{print} END {if (NR != 0) print "pass" ; else print "fail"}'' returned : 
awk: fatal: cannot open file `/etc/audit/rules.d/*.rules' for reading (Permission denied)
fail
-------------------------
FAILED - b32 sethostname
The command '/bin/awk '(/^ *-a *always,exit/||/^ *-a *exit,always/) &amp;&amp;/ -F *arch=b32/ &amp;&amp;/ -S/ &amp;&amp;/sethostname/ &amp;&amp;(/ key= *[!-~]* *$/||/ -k *[!-~]* *$/)' /etc/audit/rules.d/*.rules | /bin/awk '{print} END {if (NR != 0) print "pass" ; else print "fail"}'' returned : 
awk: fatal: cannot open file `/etc/audit/rules.d/*.rules' for reading (Permission denied)
fail
-------------------------
FAILED - auditctl /etc/hosts
The command '/sbin/auditctl -l | /bin/awk '/^ *-w/ &amp;&amp;/\/etc\/hosts/ &amp;&amp;/ +-p *wa/ &amp;&amp;(/ key= *[!-~]* *$/||/ -k *[!-~]* *$/)' | /bin/awk '{print} END {if (NR != 0) print "pass" ; else print "fail"}'' returned : 
You must be root to run this program.
fail
-------------------------
FAILED - b64 sethostname
The command '/bin/awk '(/^ *-a *always,exit/||/^ *-a *exit,always/) &amp;&amp;/ -F *arch=b64/ &amp;&amp;/ -S/ &amp;&amp;/sethostname/ &amp;&amp;(/ key= *[!-~]* *$/||/ -k *[!-~]* *$/)' /etc/audit/rules.d/*.rules | /bin/awk '{print} END {if (NR != 0) print "pass" ; else print "fail"}'' returned : 
awk: fatal: cannot open file `/etc/audit/rules.d/*.rules' for reading (Permission denied)
fail
-------------------------
FAILED - auditctl /etc/sysconfig/network
The command '/sbin/auditctl -l | /bin/awk '/^ *-w/ &amp;&amp;/\/etc\/sysconfig\/network/ &amp;&amp;/ +-p *wa/ &amp;&amp;(/ key= *[!-~]* *$/||/ -k *[!-~]* *$/)' | /bin/awk '{print} END {if (NR != 0) print "pass" ; else print "fail"}'' returned : 
You must be root to run this program.
fail
-------------------------
FAILED - /etc/hosts
The command '/bin/awk '/^ *-w/ &amp;&amp;/\/etc\/hosts/ &amp;&amp;/ +-p *wa/ &amp;&amp;(/ key= *[!-~]* *$/||/ -k *[!-~]* *$/)' /etc/audit/rules.d/*.rules | /bin/awk '{print} END {if (NR != 0) print "pass" ; else print "fail"}'' returned : 
awk: fatal: cannot open file `/etc/audit/rules.d/*.rules' for reading (Permission denied)
fail</t>
  </si>
  <si>
    <t>Record changes to network environment files or system calls. The below parameters monitors the following system calls, and write an audit event on system call exit:
 - sethostname - set the systems host name
 - setdomainname - set the systems domain name
The files being monitored are:
 - /etc/issue and /etc/issue.net - messages displayed pre-login
 - /etc/hosts - file containing host names and associated IP addresses
 - /etc/sysconfig/network - additional information that is valid to all network interfaces
 - /etc/sysconfig/network-scripts/ - directory containing network interface scripts and configurations files
Monitoring sethostname and setdomainname will identify potential unauthorized changes to host and domain name of a system. The changing of these names could potentially break security parameters that are set based on those names. The /etc/hosts file is monitored for changes that can indicate an unauthorized intruder is trying to change machine associations with IP addresses and trick users and processes into connecting to unintended machines. Monitoring /etc/issue and /etc/issue.net is important, as intruders could put disinformation into those files and trick users into providing information to the intruder. Monitoring /etc/sysconfig/network is important as it can show if network interfaces or scripts are being modified in a way that can lead to the machine becoming unavailable or compromised. All audit records should have a relevant tag associated with them.</t>
  </si>
  <si>
    <t>Create audit rules
Edit or create a file in the /etc/audit/rules.d/ directory, ending inrules extension, with the relevant rules to monitor events that modify the system's network environment.
64 Bit systems
Example:
# printf "
-a always,exit -F arch=b64 -S sethostname,setdomainname -k system-locale
-a always,exit -F arch=b32 -S sethostname,setdomainname -k system-locale
-w /etc/issue -p wa -k system-locale
-w /etc/issue.net -p wa -k system-locale
-w /etc/hosts -p wa -k system-locale
-w /etc/sysconfig/network -p wa -k system-locale
-w /etc/sysconfig/network-scripts/ -p wa -k system-locale
" &gt;&gt; /etc/audit/rules.d/50-system_locale.rules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</si>
  <si>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5.2.3.4 Ensure events that modify date and time information are collected</t>
  </si>
  <si>
    <t>'All of the following must pass to satisfy this requirement:
-------------------------
FAILED - auditctl clock_settime x32
The command 'auditctl -l | /bin/awk '(/^ *-a *always,exit/||/^ *-a *exit,always/) &amp;&amp;/ -F *arch=b64/ &amp;&amp;/ -S/ &amp;&amp;/clock_settime/ &amp;&amp;(/ key= *[!-~]* *$/||/ -k *[!-~]* *$/)' | /bin/awk '{print} END {if (NR != 0) print "pass" ; else print "fail"}'' returned : 
You must be root to run this program.
fail
-------------------------
FAILED - auditctl clock_settime x32
The command 'auditctl -l | /bin/awk '(/^ *-a *always,exit/||/^ *-a *exit,always/) &amp;&amp;/ -F *arch=b64/ &amp;&amp;/ -S/ &amp;&amp;/clock_settime/ &amp;&amp;(/ key= *[!-~]* *$/||/ -k *[!-~]* *$/)' | /bin/awk '{print} END {if (NR != 0) print "pass" ; else print "fail"}'' returned : 
You must be root to run this program.
fail
-------------------------
FAILED - adjtimex x64
The command '/bin/awk '(/^ *-a *always,exit/||/^ *-a *exit,always/) &amp;&amp;/ -F *arch=b64/ &amp;&amp;/ -S/ &amp;&amp;/adjtimex/ &amp;&amp;(/ key= *[!-~]* *$/||/ -k *[!-~]* *$/)' /etc/audit/rules.d/*.rules | /bin/awk '{print} END {if (NR != 0) print "pass" ; else print "fail"}'' returned : 
awk: fatal: cannot open file `/etc/audit/rules.d/*.rules' for reading (Permission denied)
fail
-------------------------
FAILED - adjtimex x64
The command '/bin/awk '(/^ *-a *always,exit/||/^ *-a *exit,always/) &amp;&amp;/ -F *arch=b64/ &amp;&amp;/ -S/ &amp;&amp;/adjtimex/ &amp;&amp;(/ key= *[!-~]* *$/||/ -k *[!-~]* *$/)' /etc/audit/rules.d/*.rules | /bin/awk '{print} END {if (NR != 0) print "pass" ; else print "fail"}'' returned : 
awk: fatal: cannot open file `/etc/audit/rules.d/*.rules' for reading (Permission denied)
fail
-------------------------
FAILED - settimeofday x64
The command '/bin/awk '(/^ *-a *always,exit/||/^ *-a *exit,always/) &amp;&amp;/ -F *arch=b64/ &amp;&amp;/ -S/ &amp;&amp;/settimeofday/ &amp;&amp;(/ key= *[!-~]* *$/||/ -k *[!-~]* *$/)' /etc/audit/rules.d/*.rules | /bin/awk '{print} END {if (NR != 0) print "pass" ; else print "fail"}'' returned : 
awk: fatal: cannot open file `/etc/audit/rules.d/*.rules' for reading (Permission denied)
fail
-------------------------
FAILED - settimeofday x64
The command '/bin/awk '(/^ *-a *always,exit/||/^ *-a *exit,always/) &amp;&amp;/ -F *arch=b64/ &amp;&amp;/ -S/ &amp;&amp;/settimeofday/ &amp;&amp;(/ key= *[!-~]* *$/||/ -k *[!-~]* *$/)' /etc/audit/rules.d/*.rules | /bin/awk '{print} END {if (NR != 0) print "pass" ; else print "fail"}'' returned : 
awk: fatal: cannot open file `/etc/audit/rules.d/*.rules' for reading (Permission denied)
fail
-------------------------
FAILED - auditctl settimeofday x32
The command 'auditctl -l | /bin/awk '(/^ *-a *always,exit/||/^ *-a *exit,always/) &amp;&amp;/ -F *arch=b64/ &amp;&amp;/ -S/ &amp;&amp;/settimeofday/ &amp;&amp;(/ key= *[!-~]* *$/||/ -k *[!-~]* *$/)' | /bin/awk '{print} END {if (NR != 0) print "pass" ; else print "fail"}'' returned : 
You must be root to run this program.
fail
-------------------------
FAILED - auditctl settimeofday x32
The command 'auditctl -l | /bin/awk '(/^ *-a *always,exit/||/^ *-a *exit,always/) &amp;&amp;/ -F *arch=b64/ &amp;&amp;/ -S/ &amp;&amp;/settimeofday/ &amp;&amp;(/ key= *[!-~]* *$/||/ -k *[!-~]* *$/)' | /bin/awk '{print} END {if (NR != 0) print "pass" ; else print "fail"}'' returned : 
You must be root to run this program.
fail
-------------------------
FAILED - /etc/localtime
The command '/bin/awk '/^ *-w/ &amp;&amp;/\/etc\/localtime/ &amp;&amp;/ +-p *wa/ &amp;&amp;(/ key= *[!-~]* *$/||/ -k *[!-~]* *$/)' /etc/audit/rules.d/*.rules | /bin/awk '{print} END {if (NR != 0) print "pass" ; else print "fail"}'' returned : 
awk: fatal: cannot open file `/etc/audit/rules.d/*.rules' for reading (Permission denied)
fail
-------------------------
FAILED - clock_settime x64
The command '/bin/awk '(/^ *-a *always,exit/||/^ *-a *exit,always/) &amp;&amp;/ -F *arch=b64/ &amp;&amp;/ -S/ &amp;&amp;/clock_settime/ &amp;&amp;(/ key= *[!-~]* *$/||/ -k *[!-~]* *$/)' /etc/audit/rules.d/*.rules | /bin/awk '{print} END {if (NR != 0) print "pass" ; else print "fail"}'' returned : 
awk: fatal: cannot open file `/etc/audit/rules.d/*.rules' for reading (Permission denied)
fail
-------------------------
FAILED - clock_settime x64
The command '/bin/awk '(/^ *-a *always,exit/||/^ *-a *exit,always/) &amp;&amp;/ -F *arch=b64/ &amp;&amp;/ -S/ &amp;&amp;/clock_settime/ &amp;&amp;(/ key= *[!-~]* *$/||/ -k *[!-~]* *$/)' /etc/audit/rules.d/*.rules | /bin/awk '{print} END {if (NR != 0) print "pass" ; else print "fail"}'' returned : 
awk: fatal: cannot open file `/etc/audit/rules.d/*.rules' for reading (Permission denied)
fail
-------------------------
FAILED - auditctl /etc/localtime
The command 'auditctl -l | /bin/awk '/^ *-w/ &amp;&amp;/\/etc\/localtime/ &amp;&amp;/ +-p *wa/ &amp;&amp;(/ key= *[!-~]* *$/||/ -k *[!-~]* *$/)' | /bin/awk '{print} END {if (NR != 0) print "pass" ; else print "fail"}'' returned : 
You must be root to run this program.
fail
-------------------------
FAILED - auditctl adjtimex x64
The command 'auditctl -l | /bin/awk '(/^ *-a *always,exit/||/^ *-a *exit,always/) &amp;&amp;/ -F *arch=b64/ &amp;&amp;/ -S/ &amp;&amp;/adjtimex/ &amp;&amp;(/ key= *[!-~]* *$/||/ -k *[!-~]* *$/)' | /bin/awk '{print} END {if (NR != 0) print "pass" ; else print "fail"}'' returned : 
You must be root to run this program.
fail
-------------------------
FAILED - auditctl adjtimex x64
The command 'auditctl -l | /bin/awk '(/^ *-a *always,exit/||/^ *-a *exit,always/) &amp;&amp;/ -F *arch=b64/ &amp;&amp;/ -S/ &amp;&amp;/adjtimex/ &amp;&amp;(/ key= *[!-~]* *$/||/ -k *[!-~]* *$/)' | /bin/awk '{print} END {if (NR != 0) print "pass" ; else print "fail"}'' returned : 
You must be root to run this program.
fail</t>
  </si>
  <si>
    <t>Capture events where the system date and/or time has been modified. The parameters in this section are set to determine if the;
 - adjtimex - tune kernel clock
 - settimeofday - set time using timeval and timezone structures
 - stime - using seconds since 1/1/1970
 - clock_settime - allows for the setting of several internal clocks and timers
system calls have been executed. Further, ensure to write an audit record to the configured audit log file upon exit, tagging the records with a unique identifier such as "time-change".
Unexpected changes in system date and/or time could be a sign of malicious activity on the system.</t>
  </si>
  <si>
    <t>Create audit rules
Edit or create a file in the /etc/audit/rules.d/ directory, ending inrules extension, with the relevant rules to monitor events that modify date and time information.
64 Bit systems
Example:
# printf "
-a always,exit -F arch=b64 -S adjtimex,settimeofday,clock_settime -k time-change
-a always,exit -F arch=b32 -S adjtimex,settimeofday,clock_settime -k time-change
-w /etc/localtime -p wa -k time-change
" &gt;&gt; /etc/audit/rules.d/50-time-change.rules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 In addition, add stime to the system call audit. Example:
-a always,exit -F arch=b32 -S adjtimex,settimeofday,clock_settime,stime -k time-change</t>
  </si>
  <si>
    <t>5.2.3.3 Ensure events that modify the sudo log file are collected</t>
  </si>
  <si>
    <t>'All of the following must pass to satisfy this requirement:
-------------------------
FAILED - sudo log
The command 'SUDO_LOG_FILE_ESCAPED=$(grep -r logfile /etc/sudoers* | sed -e 's/.*logfile=//;s/,? .*//' -e 's/"//g' -e 's|/|\\/|g'); [ -n "${SUDO_LOG_FILE_ESCAPED}" ] &amp;&amp; awk "/^ *-w/ &amp;&amp;/"${SUDO_LOG_FILE_ESCAPED}"/ &amp;&amp;/ +-p *wa/ &amp;&amp;(/ key= *[!-~]* *$/||/ -k *[!-~]* *$/)" /etc/audit/rules.d/*.rules | /bin/awk '{print} END {if (NR != 0) print "pass" ; else print "fail"}'' returned : 
grep: /etc/sudoers: Permission denied
grep: /etc/sudoers.d: Permission denied
grep: /etc/sudoers.d.backup.20251111_125948: Permission denied
-------------------------
FAILED - auditctl sudo log
The command 'SUDO_LOG_FILE_ESCAPED=$(grep -r logfile /etc/sudoers* | sed -e 's/.*logfile=//;s/,? .*//' -e 's/"//g' -e 's|/|\\/|g'); [ -n "${SUDO_LOG_FILE_ESCAPED}" ] &amp;&amp; auditctl -l | /bin/awk "/^ *-w/ &amp;&amp;/"${SUDO_LOG_FILE_ESCAPED}"/ &amp;&amp;/ +-p *wa/ &amp;&amp;(/ key= *[!-~]* *$/||/ -k *[!-~]* *$/)" | /bin/awk '{print} END {if (NR != 0) print "pass" ; else print "fail"}'' returned : 
grep: /etc/sudoers: Permission denied
grep: /etc/sudoers.d: Permission denied
grep: /etc/sudoers.d.backup.20251111_125948: Permission denied</t>
  </si>
  <si>
    <t>Monitor the sudo log file. If the system has been properly configured to disable the use of the su command and force all administrators to have to log in first and then use sudo to execute privileged commands, then all administrator commands will be logged to /var/log/sudo.log Any time a command is executed, an audit event will be triggered as the /var/log/sudo.log file will be opened for write and the executed administration command will be written to the log.
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t>
  </si>
  <si>
    <t>Edit or create a file in the /etc/audit/rules.d/ directory, ending inrules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'SUDO_LOG_FILE_ESCAPED' is unset.
"
}
Merge and load the rules into active configuration:
# augenrules --load
Check if reboot is required.
# if [[ $(auditctl -s | grep "enabled") =~ "2" ]]; then printf "Reboot required to load rules
"; fi</t>
  </si>
  <si>
    <t>800-171|3.3.1, 800-171|3.3.2, 800-171|3.3.6, 800-53|AU-3, 800-53|AU-3(1), 800-53|AU-7, 800-53|AU-12, 800-53r5|AU-3, 800-53r5|AU-3(1), 800-53r5|AU-7, 800-53r5|AU-12, CN-L3|7.1.2.3(a), CN-L3|7.1.2.3(b), CN-L3|7.1.2.3(c), CN-L3|7.1.3.3(a), CN-L3|7.1.3.3(b), CN-L3|8.1.4.3(b), CSCv7|4.9,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</si>
  <si>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5.2.3.21 Ensure the running and on disk configuration is the same</t>
  </si>
  <si>
    <t>The command '/sbin/augenrules --check' returned : 
/sbin/augenrules: No rules directory - /etc/audit/rules.d</t>
  </si>
  <si>
    <t>cmd: /sbin/augenrules --check
expect: ^[\s]*/sbin/augenrules:[\s]*No change[\s]*$</t>
  </si>
  <si>
    <t>The Audit system have both on disk and running configuration. It is possible for these configuration settings to differ.
Note: Due to the limitations of augenrules and auditctl it is not absolutely guaranteed that loading the rule sets via augenrules --load will result in all rules being loaded or even that the user will be informed if there was a problem loading the rules.
Configuration differences between what is currently running and what is on disk could cause unexpected problems or may give a false impression of compliance requirements.</t>
  </si>
  <si>
    <t>If the rules are not aligned across all three () areas, run the following command to merge and load all rules:
# augenrules --load
Check if reboot is required.
if [[ $(auditctl -s | grep "enabled") =~ "2" ]]; then echo "Reboot required to load rules"; fi</t>
  </si>
  <si>
    <t>800-171|3.3.1, 800-171|3.3.2, 800-171|3.3.6,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ITSG-33|AU-3, ITSG-33|AU-3(1), ITSG-33|AU-7, ITSG-33|AU-12, LEVEL|2M,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</si>
  <si>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5.2.3.20 Ensure the audit configuration is immutable</t>
  </si>
  <si>
    <t>The command '/bin/grep -Ph -- '^\h*-e\h+2\b' /etc/audit/rules.d/*.rules | tail -1' returned : 
/bin/grep: /etc/audit/rules.d/*.rules: Permission denied</t>
  </si>
  <si>
    <t>cmd: /bin/grep -Ph -- '^\h*-e\h+2\b' /etc/audit/rules.d/*.rules | tail -1
expect: ^[\s]*-e[\s]+2[\s]*$</t>
  </si>
  <si>
    <t>Set system audit so that audit rules cannot be modified with auditctl Setting the flag "-e 2" forces audit to be put in immutable mode. Audit changes can only be made on system reboot.
Note: This setting will require the system to be rebooted to update the active auditd configuration settings.
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t>
  </si>
  <si>
    <t>Edit or create the file /etc/audit/rules.d/99-finalize.rules and add the line -e 2 at the end of the file:
Example:
# printf '%s
' "-e 2" &gt; /etc/audit/rules.d/99-finalize.rules
Load audit rules
Merge and load the rules into active configuration:
# augenrules --load
Check if reboot is required.
# if [[ $(auditctl -s | grep "enabled") =~ "2" ]]; then printf "Reboot required to load rules
"; fi</t>
  </si>
  <si>
    <t>800-171|3.1.1, 800-171|3.1.4, 800-171|3.1.5, 800-171|3.3.1, 800-171|3.3.2, 800-171|3.3.6, 800-171|3.8.1, 800-171|3.8.2, 800-171|3.8.3, 800-53|AC-3, 800-53|AC-5, 800-53|AC-6, 800-53|AU-3, 800-53|AU-3(1), 800-53|AU-7, 800-53|AU-12, 800-53|MP-2, 800-53r5|AC-3, 800-53r5|AC-5, 800-53r5|AC-6, 800-53r5|AU-3, 800-53r5|AU-3(1), 800-53r5|AU-7, 800-53r5|AU-12, 800-53r5|MP-2, CN-L3|7.1.2.3(a), CN-L3|7.1.2.3(b), CN-L3|7.1.2.3(c), CN-L3|7.1.3.2(b), CN-L3|7.1.3.2(g), CN-L3|7.1.3.3(a), CN-L3|7.1.3.3(b), CN-L3|8.1.4.2(d), CN-L3|8.1.4.2(f), CN-L3|8.1.4.3(b), CN-L3|8.1.4.11(b), CN-L3|8.1.10.2(c), CN-L3|8.1.10.6(a), CN-L3|8.5.3.1, CN-L3|8.5.4.1(a), CSCv7|6.2, CSCv7|6.3, CSCv8|3.3, CSCv8|8.5, CSF|DE.CM-1, CSF|DE.CM-3, CSF|DE.CM-7, CSF|PR.AC-4, CSF|PR.DS-5, CSF|PR.PT-1, CSF|PR.PT-2, CSF|PR.PT-3, CSF|RS.AN-3, CSF2.0|DE.CM-01, CSF2.0|DE.CM-03, CSF2.0|DE.CM-09, CSF2.0|PR.AA-05, CSF2.0|PR.DS-10, CSF2.0|PR.IR-01, CSF2.0|PR.PS-04, CSF2.0|RS.AN-03, CSF2.0|RS.AN-06, CSF2.0|RS.AN-07, GDPR|32.1.b, HIPAA|164.306(a)(1), HIPAA|164.312(a)(1), HIPAA|164.312(b), ISO/IEC-27001|A.6.1.2, ISO/IEC-27001|A.9.4.1, ISO/IEC-27001|A.9.4.5, ITSG-33|AC-3, ITSG-33|AC-5, ITSG-33|AC-6, ITSG-33|AU-3, ITSG-33|AU-3(1), ITSG-33|AU-7, ITSG-33|AU-12, ITSG-33|MP-2, ITSG-33|MP-2a., LEVEL|2A, NESA|T1.3.2, NESA|T1.3.3, NESA|T1.4.1, NESA|T3.6.2, NESA|T4.2.1, NESA|T5.1.1, NESA|T5.2.2, NESA|T5.4.1, NESA|T5.4.4, NESA|T5.4.5, NESA|T5.5.4, NESA|T5.6.1, NESA|T7.5.2, NESA|T7.5.3, NIAv2|AM1, NIAv2|AM3, NIAv2|AM23f, NIAv2|AM34a, NIAv2|AM34b, NIAv2|AM34c, NIAv2|AM34d, NIAv2|AM34e, NIAv2|AM34f, NIAv2|AM34g, NIAv2|SS13c, NIAv2|SS15c, NIAv2|SS29, PCI-DSSv3.2.1|7.1.2, PCI-DSSv3.2.1|10.1, PCI-DSSv3.2.1|10.3, PCI-DSSv3.2.1|10.3.1, PCI-DSSv3.2.1|10.3.2, PCI-DSSv3.2.1|10.3.3, PCI-DSSv3.2.1|10.3.4, PCI-DSSv3.2.1|10.3.5, PCI-DSSv3.2.1|10.3.6, PCI-DSSv4.0|7.2.1, PCI-DSSv4.0|7.2.2, PCI-DSSv4.0|10.2.2, QCSC-v1|3.2, QCSC-v1|5.2.2, QCSC-v1|6.2, QCSC-v1|8.2.1, QCSC-v1|10.2.1, QCSC-v1|11.2, QCSC-v1|13.2, SWIFT-CSCv1|5.1, SWIFT-CSCv1|6.4, TBA-FIISB|31.1, TBA-FIISB|31.4.2, TBA-FIISB|31.4.3</t>
  </si>
  <si>
    <t>5.2.3.2 Ensure actions as another user are always logged</t>
  </si>
  <si>
    <t>'All of the following must pass to satisfy this requirement:
-------------------------
FAILED - /etc/audit/rules.d/*.rules b32
The command '/bin/awk '(/^ *-a *always,exit/||/^ *-a *exit,always/) &amp;&amp;/ -F *arch=b32/ &amp;&amp;(/ -F *auid!=unset/||/ -F *auid!=-1/||/ -F *auid!=4294967295/) &amp;&amp;(/ -C *euid!=uid/||/ -C *uid!=euid/) &amp;&amp;/ -S *execve/ &amp;&amp;(/ key= *[!-~]* *$/||/ -k *[!-~]* *$/)' /etc/audit/rules.d/*.rules | /bin/awk '{print} END {if (NR != 0) print "pass" ; else print "fail"}'' returned : 
awk: fatal: cannot open file `/etc/audit/rules.d/*.rules' for reading (Permission denied)
fail
-------------------------
FAILED - auditctl b64
The command 'auditctl -l | /bin/awk '(/^ *-a *always,exit/||/^ *-a *exit,always/) &amp;&amp;/ -F *arch=b64/ &amp;&amp;(/ -F *auid!=unset/||/ -F *auid!=-1/||/ -F *auid!=4294967295/) &amp;&amp;(/ -C *euid!=uid/||/ -C *uid!=euid/) &amp;&amp;/ -S *execve/ &amp;&amp;(/ key= *[!-~]* *$/||/ -k *[!-~]* *$/)' | /bin/awk '{print} END {if (NR != 0) print "pass" ; else print "fail"}'' returned : 
You must be root to run this program.
fail
-------------------------
FAILED - /etc/audit/rules.d/*.rules b64
The command '/bin/awk '(/^ *-a *always,exit/||/^ *-a *exit,always/) &amp;&amp;/ -F *arch=b64/ &amp;&amp;(/ -F *auid!=unset/||/ -F *auid!=-1/||/ -F *auid!=4294967295/) &amp;&amp;(/ -C *euid!=uid/||/ -C *uid!=euid/) &amp;&amp;/ -S *execve/ &amp;&amp;(/ key= *[!-~]* *$/||/ -k *[!-~]* *$/)' /etc/audit/rules.d/*.rules | /bin/awk '{print} END {if (NR != 0) print "pass" ; else print "fail"}'' returned : 
awk: fatal: cannot open file `/etc/audit/rules.d/*.rules' for reading (Permission denied)
fail
-------------------------
FAILED - auditctl b32
The command 'auditctl -l | /bin/awk '(/^ *-a *always,exit/||/^ *-a *exit,always/) &amp;&amp;/ -F *arch=b32/ &amp;&amp;(/ -F *auid!=unset/||/ -F *auid!=-1/||/ -F *auid!=4294967295/) &amp;&amp;(/ -C *euid!=uid/||/ -C *uid!=euid/) &amp;&amp;/ -S *execve/ &amp;&amp;(/ key= *[!-~]* *$/||/ -k *[!-~]* *$/)' | /bin/awk '{print} END {if (NR != 0) print "pass" ; else print "fail"}'' returned : 
You must be root to run this program.
fail</t>
  </si>
  <si>
    <t>sudo provides users with temporary elevated privileges to perform operations, either as the superuser or another user.
Creating an audit log of users with temporary elevated privileges and the operation(s) they performed is essential to reporting. Administrators will want to correlate the events written to the audit trail with the records written to sudo 's logfile to verify if unauthorized commands have been executed.</t>
  </si>
  <si>
    <t>Create audit rules
Edit or create a file in the /etc/audit/rules.d/ directory, ending inrules extension, with the relevant rules to monitor elevated privileges.
64 Bit systems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</si>
  <si>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5.2.3.19 Ensure kernel module loading unloading and modification is collected</t>
  </si>
  <si>
    <t>'All of the following must pass to satisfy this requirement:
-------------------------
FAILED - finit_module b64
The command '/bin/awk '(/^ *-a *always,exit/||/^ *-a *exit,always/) &amp;&amp;/ -F *arch=b64/ &amp;&amp;/ -S/ &amp;&amp;/finit_module/ &amp;&amp;(/ key= *[!-~]* *$/||/ -k *[!-~]* *$/)' /etc/audit/rules.d/*.rules | /bin/awk '{print} END {if (NR != 0) print "pass" ; else print "fail"}'' returned : 
awk: fatal: cannot open file `/etc/audit/rules.d/*.rules' for reading (Permission denied)
fail
-------------------------
PASSED - symlinks
The command script with multiple lines returned : 
OK
-------------------------
PASSED - /usr/bin/kmod
The command script with multiple lines returned : 
awk: fatal: cannot open file `/etc/audit/rules.d/*.rules' for reading (Permission denied)
ERROR: Variable 'UID_MIN' is unset.
pass
-------------------------
FAILED - auditctl create_module b64
The command 'auditctl -l | /bin/awk '(/^ *-a *always,exit/||/^ *-a *exit,always/) &amp;&amp;/ -F *arch=b64/ &amp;&amp;/ -S/ &amp;&amp;/create_module/ &amp;&amp;(/ key= *[!-~]* *$/||/ -k *[!-~]* *$/)' | /bin/awk '{print} END {if (NR != 0) print "pass" ; else print "fail"}'' returned : 
You must be root to run this program.
fail
-------------------------
FAILED - auditctl init_module b64
The command 'auditctl -l | /bin/awk '(/^ *-a *always,exit/||/^ *-a *exit,always/) &amp;&amp;/ -F *arch=b64/ &amp;&amp;/ -S/ &amp;&amp;/init_module/ &amp;&amp;(/ key= *[!-~]* *$/||/ -k *[!-~]* *$/)' | /bin/awk '{print} END {if (NR != 0) print "pass" ; else print "fail"}'' returned : 
You must be root to run this program.
fail
-------------------------
FAILED - create_module b64
The command '/bin/awk '(/^ *-a *always,exit/||/^ *-a *exit,always/) &amp;&amp;/ -F *arch=b64/ &amp;&amp;/ -S/ &amp;&amp;/create_module/ &amp;&amp;(/ key= *[!-~]* *$/||/ -k *[!-~]* *$/)' /etc/audit/rules.d/*.rules | /bin/awk '{print} END {if (NR != 0) print "pass" ; else print "fail"}'' returned : 
awk: fatal: cannot open file `/etc/audit/rules.d/*.rules' for reading (Permission denied)
fail
-------------------------
FAILED - auditctl /usr/bin/kmod
The command script with multiple lines returned : 
You must be root to run this program.
fail
-------------------------
FAILED - auditctl delete_module b64
The command 'auditctl -l | /bin/awk '(/^ *-a *always,exit/||/^ *-a *exit,always/) &amp;&amp;/ -F *arch=b64/ &amp;&amp;/ -S/ &amp;&amp;/delete_module/ &amp;&amp;(/ key= *[!-~]* *$/||/ -k *[!-~]* *$/)' | /bin/awk '{print} END {if (NR != 0) print "pass" ; else print "fail"}'' returned : 
You must be root to run this program.
fail
-------------------------
FAILED - query_module b64
The command '/bin/awk '(/^ *-a *always,exit/||/^ *-a *exit,always/) &amp;&amp;/ -F *arch=b64/ &amp;&amp;/ -S/ &amp;&amp;/query_module/ &amp;&amp;(/ key= *[!-~]* *$/||/ -k *[!-~]* *$/)' /etc/audit/rules.d/*.rules | /bin/awk '{print} END {if (NR != 0) print "pass" ; else print "fail"}'' returned : 
awk: fatal: cannot open file `/etc/audit/rules.d/*.rules' for reading (Permission denied)
fail
-------------------------
FAILED - delete_module b64
The command '/bin/awk '(/^ *-a *always,exit/||/^ *-a *exit,always/) &amp;&amp;/ -F *arch=b64/ &amp;&amp;/ -S/ &amp;&amp;/delete_module/ &amp;&amp;(/ key= *[!-~]* *$/||/ -k *[!-~]* *$/)' /etc/audit/rules.d/*.rules | /bin/awk '{print} END {if (NR != 0) print "pass" ; else print "fail"}'' returned : 
awk: fatal: cannot open file `/etc/audit/rules.d/*.rules' for reading (Permission denied)
fail
-------------------------
FAILED - auditctl finit_module b64
The command 'auditctl -l | /bin/awk '(/^ *-a *always,exit/||/^ *-a *exit,always/) &amp;&amp;/ -F *arch=b64/ &amp;&amp;/ -S/ &amp;&amp;/finit_module/ &amp;&amp;(/ key= *[!-~]* *$/||/ -k *[!-~]* *$/)' | /bin/awk '{print} END {if (NR != 0) print "pass" ; else print "fail"}'' returned : 
You must be root to run this program.
fail
-------------------------
FAILED - auditctl query_module b64
The command 'auditctl -l | /bin/awk '(/^ *-a *always,exit/||/^ *-a *exit,always/) &amp;&amp;/ -F *arch=b64/ &amp;&amp;/ -S/ &amp;&amp;/query_module/ &amp;&amp;(/ key= *[!-~]* *$/||/ -k *[!-~]* *$/)' | /bin/awk '{print} END {if (NR != 0) print "pass" ; else print "fail"}'' returned : 
You must be root to run this program.
fail
-------------------------
FAILED - init_module b64
The command '/bin/awk '(/^ *-a *always,exit/||/^ *-a *exit,always/) &amp;&amp;/ -F *arch=b64/ &amp;&amp;/ -S/ &amp;&amp;/init_module/ &amp;&amp;(/ key= *[!-~]* *$/||/ -k *[!-~]* *$/)' /etc/audit/rules.d/*.rules | /bin/awk '{print} END {if (NR != 0) print "pass" ; else print "fail"}'' returned : 
awk: fatal: cannot open file `/etc/audit/rules.d/*.rules' for reading (Permission denied)
fail</t>
  </si>
  <si>
    <t>Monitor the loading and unloading of kernel modules. All the loading / listing / dependency checking of modules is done by kmod via symbolic links.
The following system calls control loading and unloading of modules:
 - init_module - load a module
 - finit_module - load a module (used when the overhead of using cryptographically signed modules to determine the authenticity of a module can be avoided)
 - delete_module - delete a module
 - create_module - create a loadable module entry
 - query_module - query the kernel for various bits pertaining to modules
Any execution of the loading and unloading module programs and system calls will trigger an audit record with an identifier of modules
Monitoring the use of all the various ways to manipulate kernel modules could provide system administrators with evidence that an unauthorized change was made to a kernel module, possibly compromising the security of the system.</t>
  </si>
  <si>
    <t>Create audit rules
Edit or create a file in the /etc/audit/rules.d/ directory, ending inrules extension, with the relevant rules to monitor kernel module modification.
64 Bit systems
Example:
#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
"
}
Load audit rules
Merge and load the rules into active configuration:
# augenrules --load
Check if reboot is required.
# if [[ $(auditctl -s | grep "enabled") =~ "2" ]]; then printf "Reboot required to load rules
"; fi</t>
  </si>
  <si>
    <t>5.2.3.18 Ensure successful and unsuccessful attempts to use the usermod command are recorded</t>
  </si>
  <si>
    <t>'All of the following must pass to satisfy this requirement:
-------------------------
FAILED - /etc/audit/rules.d/*.rules
The command 'UID_MIN=$(awk '/^\s*UID_MIN/{print $2}' /etc/login.defs); [ -n "${UID_MIN}" ] &amp;&amp; auditctl -l | awk  "(/^ *-a *always,exit/||/^ *-a *exit,always/) &amp;&amp;(/ -F *auid!=unset/||/ -F *auid!=-1/||/ -F *auid!=4294967295/) &amp;&amp;/ -F *auid&gt;=${UID_MIN}/ &amp;&amp;/ -F *perm=x/ &amp;&amp;/ -F *path=\/usr\/sbin\/usermod/ &amp;&amp;(/ key= *[!-~]* *$/||/ -k *[!-~]* *$/) " | /bin/awk '{print} END {if (NR != 0) print "pass" ; else print "fail"}' || printf  "ERROR: Variable 'UID_MIN' is unset. \n "' returned : 
You must be root to run this program.
fail
-------------------------
FAILED - auditctl
The command 'UID_MIN=$(awk '/^\s*UID_MIN/{print $2}' /etc/login.defs); [ -n "${UID_MIN}" ] &amp;&amp; awk  "(/^ *-a *always,exit/||/^ *-a *exit,always/) &amp;&amp;(/ -F *auid!=unset/||/ -F *auid!=-1/||/ -F *auid!=4294967295/) &amp;&amp;/ -F *auid&gt;=${UID_MIN}/ &amp;&amp;/ -F *perm=x/ &amp;&amp;/ -F *path=\/usr\/sbin\/usermod/ &amp;&amp;(/ key= *[!-~]* *$/||/ -k *[!-~]* *$/) " /etc/audit/rules.d/*.rules | /bin/awk '{print} END {if (NR != 0) print "pass" ; else print "fail"}' || printf  "ERROR: Variable 'UID_MIN' is unset. \n "' returned : 
awk: fatal: cannot open file `/etc/audit/rules.d/*.rules' for reading (Permission denied)
fail</t>
  </si>
  <si>
    <t>The operating system must generate audit records for successful/unsuccessful uses of the usermod command.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</si>
  <si>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Create audit rules
Edit or create a file in the /etc/audit/rules.d/ directory, ending inrules extension, with the relevant rules to monitor successful and unsuccessful attempts to use the usermod command.
64 Bit systems
Example:
# {
 UID_MIN=$(awk '/^s*UID_MIN/{print $2}' /etc/login.defs)
 [ -n "${UID_MIN}" ] &amp;&amp; printf "
-a always,exit -F path=/usr/sbin/usermod -F perm=x -F auid&gt;=${UID_MIN} -F auid!=unset -k usermod
" &gt;&gt; /etc/audit/rules.d/50-usermod.rules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</si>
  <si>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800-171|3.3.1, 800-171|3.3.2, 800-171|3.3.6, 800-53|AU-2, 800-53|AU-7, 800-53|AU-12, 800-53r5|AU-2, 800-53r5|AU-7, 800-53r5|AU-12, CN-L3|7.1.2.3(c), CN-L3|8.1.4.3(a), CSCv7|6.2, CSCv8|8.2, CSF|DE.CM-1, CSF|DE.CM-3, CSF|DE.CM-7, CSF|PR.PT-1, CSF|RS.AN-3, CSF2.0|DE.CM-01, CSF2.0|DE.CM-03, CSF2.0|DE.CM-09, CSF2.0|PR.PS-04, CSF2.0|RS.AN-03, CSF2.0|RS.AN-06, CSF2.0|RS.AN-07, GDPR|32.1.b, HIPAA|164.306(a)(1), HIPAA|164.312(b), ITSG-33|AU-2, ITSG-33|AU-7, ITSG-33|AU-12, LEVEL|2A, NESA|M1.2.2, NESA|M5.5.1, NIAv2|AM7, NIAv2|AM11a, NIAv2|AM11b, NIAv2|AM11c, NIAv2|AM11d, NIAv2|AM11e, NIAv2|SS30, NIAv2|VL8, PCI-DSSv3.2.1|10.1, QCSC-v1|3.2, QCSC-v1|6.2, QCSC-v1|8.2.1, QCSC-v1|10.2.1, QCSC-v1|11.2, QCSC-v1|13.2, SWIFT-CSCv1|6.4</t>
  </si>
  <si>
    <t>5.2.3.17 Ensure successful and unsuccessful attempts to use the chacl command are recorded</t>
  </si>
  <si>
    <t>'All of the following must pass to satisfy this requirement:
-------------------------
FAILED - /etc/audit/rules.d/*.rules
The command 'UID_MIN=$(awk '/^\s*UID_MIN/{print $2}' /etc/login.defs); [ -n "${UID_MIN}" ] &amp;&amp; awk  "(/^ *-a *always,exit/||/^ *-a *exit,always/) &amp;&amp;(/ -F *auid!=unset/||/ -F *auid!=-1/||/ -F *auid!=4294967295/) &amp;&amp;/ -F *auid&gt;=${UID_MIN}/ &amp;&amp;/ -F *perm=x/ &amp;&amp;/ -F *path=\/usr\/bin\/chacl/ &amp;&amp;(/ key= *[!-~]* *$/||/ -k *[!-~]* *$/) " /etc/audit/rules.d/*.rules | /bin/awk '{print} END {if (NR != 0) print "pass" ; else print "fail"}' || printf  "ERROR: Variable 'UID_MIN' is unset. \n "' returned : 
awk: fatal: cannot open file `/etc/audit/rules.d/*.rules' for reading (Permission denied)
fail
-------------------------
FAILED - auditctl
The command 'UID_MIN=$(awk '/^\s*UID_MIN/{print $2}' /etc/login.defs); [ -n "${UID_MIN}" ] &amp;&amp; auditctl -l | awk  "(/^ *-a *always,exit/||/^ *-a *exit,always/) &amp;&amp;(/ -F *auid!=unset/||/ -F *auid!=-1/||/ -F *auid!=4294967295/) &amp;&amp;/ -F *auid&gt;=${UID_MIN}/ &amp;&amp;/ -F *perm=x/ &amp;&amp;/ -F *path=\/usr\/bin\/chacl/ &amp;&amp;(/ key= *[!-~]* *$/||/ -k *[!-~]* *$/) " | /bin/awk '{print} END {if (NR != 0) print "pass" ; else print "fail"}' || printf  "ERROR: Variable 'UID_MIN' is unset. \n "' returned : 
You must be root to run this program.
fail</t>
  </si>
  <si>
    <t>The operating system must generate audit records for successful/unsuccessful uses of the chacl command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</si>
  <si>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Create audit rules
Edit or create a file in the /etc/audit/rules.d/ directory, ending inrules extension, with the relevant rules to monitor successful and unsuccessful attempts to use the chacl command.
64 Bit systems
Example:
# {
 UID_MIN=$(awk '/^s*UID_MIN/{print $2}' /etc/login.defs)
 [ -n "${UID_MIN}" ] &amp;&amp; printf "
-a always,exit -F path=/usr/bin/chacl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</si>
  <si>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5.2.3.16 Ensure successful and unsuccessful attempts to use the setfacl command are recorded</t>
  </si>
  <si>
    <t>'All of the following must pass to satisfy this requirement:
-------------------------
FAILED - /etc/audit/rules.d/*.rules
The command 'UID_MIN=$(awk '/^\s*UID_MIN/{print $2}' /etc/login.defs); [ -n "${UID_MIN}" ] &amp;&amp; auditctl -l | awk  "(/^ *-a *always,exit/||/^ *-a *exit,always/) &amp;&amp;(/ -F *auid!=unset/||/ -F *auid!=-1/||/ -F *auid!=4294967295/) &amp;&amp;/ -F *auid&gt;=${UID_MIN}/ &amp;&amp;/ -F *perm=x/ &amp;&amp;/ -F *path=\/usr\/bin\/setfacl/ &amp;&amp;(/ key= *[!-~]* *$/||/ -k *[!-~]* *$/) " | /bin/awk '{print} END {if (NR != 0) print "pass" ; else print "fail"}' || printf  "ERROR: Variable 'UID_MIN' is unset. \n "' returned : 
You must be root to run this program.
fail
-------------------------
FAILED - auditctl
The command 'UID_MIN=$(awk '/^\s*UID_MIN/{print $2}' /etc/login.defs); [ -n "${UID_MIN}" ] &amp;&amp; awk  "(/^ *-a *always,exit/||/^ *-a *exit,always/) &amp;&amp;(/ -F *auid!=unset/||/ -F *auid!=-1/||/ -F *auid!=4294967295/) &amp;&amp;/ -F *auid&gt;=${UID_MIN}/ &amp;&amp;/ -F *perm=x/ &amp;&amp;/ -F *path=\/usr\/bin\/setfacl/ &amp;&amp;(/ key= *[!-~]* *$/||/ -k *[!-~]* *$/) " /etc/audit/rules.d/*.rules | /bin/awk '{print} END {if (NR != 0) print "pass" ; else print "fail"}' || printf  "ERROR: Variable 'UID_MIN' is unset. \n "' returned : 
awk: fatal: cannot open file `/etc/audit/rules.d/*.rules' for reading (Permission denied)
fail</t>
  </si>
  <si>
    <t>The operating system must generate audit records for successful/unsuccessful uses of the setfacl command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</si>
  <si>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Create audit rules
Edit or create a file in the /etc/audit/rules.d/ directory, ending inrules extension, with the relevant rules to monitor successful and unsuccessful attempts to use the setfacl command.
64 Bit systems
Example:
# {
 UID_MIN=$(awk '/^s*UID_MIN/{print $2}' /etc/login.defs)
 [ -n "${UID_MIN}" ] &amp;&amp; printf "
-a always,exit -F path=/usr/bin/setfacl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</si>
  <si>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5.2.3.15 Ensure successful and unsuccessful attempts to use the chcon command are recorded</t>
  </si>
  <si>
    <t>'All of the following must pass to satisfy this requirement:
-------------------------
FAILED - /etc/audit/rules.d/*.rules
The command 'UID_MIN=$(awk '/^\s*UID_MIN/{print $2}' /etc/login.defs); [ -n "${UID_MIN}" ] &amp;&amp; awk  "(/^ *-a *always,exit/||/^ *-a *exit,always/) &amp;&amp;(/ -F *auid!=unset/||/ -F *auid!=-1/||/ -F *auid!=4294967295/) &amp;&amp;/ -F *auid&gt;=${UID_MIN}/ &amp;&amp;/ -F *perm=x/ &amp;&amp;/ -F *path=\/usr\/bin\/chcon/ &amp;&amp;(/ key= *[!-~]* *$/||/ -k *[!-~]* *$/) " /etc/audit/rules.d/*.rules | /bin/awk '{print} END {if (NR != 0) print "pass" ; else print "fail"}' || printf "ERROR: Variable 'UID_MIN' is unset. \n "' returned : 
awk: fatal: cannot open file `/etc/audit/rules.d/*.rules' for reading (Permission denied)
fail
-------------------------
FAILED - auditctl
The command 'UID_MIN=$(awk '/^\s*UID_MIN/{print $2}' /etc/login.defs); [ -n "${UID_MIN}" ] &amp;&amp; auditctl -l | awk  "(/^ *-a *always,exit/||/^ *-a *exit,always/) &amp;&amp;(/ -F *auid!=unset/||/ -F *auid!=-1/||/ -F *auid!=4294967295/) &amp;&amp;/ -F *auid&gt;=${UID_MIN}/ &amp;&amp;/ -F *perm=x/ &amp;&amp;/ -F *path=\/usr\/bin\/chcon/ &amp;&amp;(/ key= *[!-~]* *$/||/ -k *[!-~]* *$/) " | /bin/awk '{print} END {if (NR != 0) print "pass" ; else print "fail"}' || printf "ERROR: Variable 'UID_MIN' is unset. \n "' returned : 
You must be root to run this program.
fail</t>
  </si>
  <si>
    <t>The operating system must generate audit records for successful/unsuccessful uses of the chcon command.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</si>
  <si>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Create audit rules
Edit or create a file in the /etc/audit/rules.d/ directory, ending inrules extension, with the relevant rules to monitor successful and unsuccessful attempts to use the chcon command.
64 Bit systems
Example:
# {
 UID_MIN=$(awk '/^s*UID_MIN/{print $2}' /etc/login.defs)
 [ -n "${UID_MIN}" ] &amp;&amp; printf "
-a always,exit -F path=/usr/bin/chcon -F perm=x -F auid&gt;=${UID_MIN} -F auid!=unset -k perm_chng
" &gt;&gt; /etc/audit/rules.d/50-perm_chng.rules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</si>
  <si>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5.2.3.14 Ensure events that modify the system's Mandatory Access Controls are collected</t>
  </si>
  <si>
    <t>'All of the following must pass to satisfy this requirement:
-------------------------
FAILED - *.rules /etc/selinux
The command '/bin/awk '/^ *-w/ &amp;&amp;/\/etc\/selinux/ &amp;&amp;/ +-p *wa/ &amp;&amp;(/ key= *[!-~]* *$/||/ -k *[!-~]* *$/)' /etc/audit/rules.d/*.rules | /bin/awk '{print} END {if (NR != 0) print "pass" ; else print "fail"}'' returned : 
awk: fatal: cannot open file `/etc/audit/rules.d/*.rules' for reading (Permission denied)
fail
-------------------------
FAILED - *.rules /usr/share/selinux
The command '/bin/awk '/^ *-w/ &amp;&amp;/\/usr\/share\/selinux/ &amp;&amp;/ +-p *wa/ &amp;&amp;(/ key= *[!-~]* *$/||/ -k *[!-~]* *$/)' /etc/audit/rules.d/*.rules | /bin/awk '{print} END {if (NR != 0) print "pass" ; else print "fail"}'' returned : 
awk: fatal: cannot open file `/etc/audit/rules.d/*.rules' for reading (Permission denied)
fail
-------------------------
FAILED - auditctl /etc/selinux
The command 'auditctl -l | /bin/awk '/^ *-w/ &amp;&amp;/\/etc\/selinux/ &amp;&amp;/ +-p *wa/ &amp;&amp;(/ key= *[!-~]* *$/||/ -k *[!-~]* *$/)' | /bin/awk '{print} END {if (NR != 0) print "pass" ; else print "fail"}'' returned : 
You must be root to run this program.
fail
-------------------------
FAILED - auditctl /usr/share/selinux
The command 'auditctl -l | /bin/awk '/^ *-w/ &amp;&amp;/\/usr\/share\/selinux/ &amp;&amp;/ +-p *wa/ &amp;&amp;(/ key= *[!-~]* *$/||/ -k *[!-~]* *$/)' | /bin/awk '{print} END {if (NR != 0) print "pass" ; else print "fail"}'' returned : 
You must be root to run this program.
fail</t>
  </si>
  <si>
    <t>Monitor SELinux, an implementation of mandatory access controls. The parameters below monitor any write access (potential additional, deletion or modification of files in the directory) or attribute changes to the /etc/selinux/ and /usr/share/selinux/ directories.
Note: If a different Mandatory Access Control method is used, changes to the corresponding directories should be audited.
Changes to files in the /etc/selinux/ and /usr/share/selinux/ directories could indicate that an unauthorized user is attempting to modify access controls and change security contexts, leading to a compromise of the system.</t>
  </si>
  <si>
    <t>Edit or create a file in the /etc/audit/rules.d/ directory, ending inrules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
"; fi</t>
  </si>
  <si>
    <t>5.2.3.13 Ensure file deletion events by users are collected</t>
  </si>
  <si>
    <t>'All of the following must pass to satisfy this requirement:
-------------------------
FAILED - b32 unlink
The command 'UID_MIN=$(awk '/^\s*UID_MIN/{print $2}' /etc/login.defs); [ -n "${UID_MIN}" ] &amp;&amp; awk "(/^ *-a *always,exit/||/^ *-a *exit,always/)  &amp;&amp;/ -F *arch=b32/  &amp;&amp;(/ -F *auid!=unset/||/ -F *auid!=-1/||/ -F *auid!=4294967295/)  &amp;&amp;/ -F *auid&gt;=${UID_MIN}/  &amp;&amp;/ -S/  &amp;&amp;(/unlink/||/rename/||/unlinkat/||/renameat/)  &amp;&amp;(/ key= *[!-~]* *$/||/ -k *[!-~]* *$/)" /etc/audit/rules.d/*.rules  | /bin/awk '{print} END {if (NR != 0) print "pass" ; else print "fail"}' || printf "ERROR: Variable 'UID_MIN' is unset.\n"' returned : 
awk: fatal: cannot open file `/etc/audit/rules.d/*.rules' for reading (Permission denied)
fail
-------------------------
FAILED - auditctl b64 unlink
The command 'UID_MIN=$(awk '/^\s*UID_MIN/{print $2}' /etc/login.defs); [ -n "${UID_MIN}" ] &amp;&amp; auditctl -l | awk "(/^ *-a *always,exit/||/^ *-a *exit,always/)  &amp;&amp;/ -F *arch=b64/  &amp;&amp;(/ -F *auid!=unset/||/ -F *auid!=-1/||/ -F *auid!=4294967295/)  &amp;&amp;/ -F *auid&gt;=${UID_MIN}/  &amp;&amp;/ -S/  &amp;&amp;(/unlink/||/rename/||/unlinkat/||/renameat/)  &amp;&amp;(/ key= *[!-~]* *$/||/ -k *[!-~]* *$/)" | /bin/awk '{print} END {if (NR != 0) print "pass" ; else print "fail"}' || printf "ERROR: Variable 'UID_MIN' is unset.\n"' returned : 
You must be root to run this program.
fail
-------------------------
FAILED - auditctl b32 unlink
The command 'UID_MIN=$(awk '/^\s*UID_MIN/{print $2}' /etc/login.defs); [ -n "${UID_MIN}" ] &amp;&amp; auditctl -l | awk "(/^ *-a *always,exit/||/^ *-a *exit,always/)  &amp;&amp;/ -F *arch=b32/  &amp;&amp;(/ -F *auid!=unset/||/ -F *auid!=-1/||/ -F *auid!=4294967295/)  &amp;&amp;/ -F *auid&gt;=${UID_MIN}/  &amp;&amp;/ -S/  &amp;&amp;(/unlink/||/rename/||/unlinkat/||/renameat/)  &amp;&amp;(/ key= *[!-~]* *$/||/ -k *[!-~]* *$/)" | /bin/awk '{print} END {if (NR != 0) print "pass" ; else print "fail"}' || printf "ERROR: Variable 'UID_MIN' is unset.\n"' returned : 
You must be root to run this program.
fail
-------------------------
FAILED - b64 unlink
The command 'UID_MIN=$(awk '/^\s*UID_MIN/{print $2}' /etc/login.defs); [ -n "${UID_MIN}" ] &amp;&amp; awk "(/^ *-a *always,exit/||/^ *-a *exit,always/)  &amp;&amp;/ -F *arch=b64/  &amp;&amp;(/ -F *auid!=unset/||/ -F *auid!=-1/||/ -F *auid!=4294967295/)  &amp;&amp;/ -F *auid&gt;=${UID_MIN}/  &amp;&amp;/ -S/  &amp;&amp;(/unlink/||/rename/||/unlinkat/||/renameat/)  &amp;&amp;(/ key= *[!-~]* *$/||/ -k *[!-~]* *$/)" /etc/audit/rules.d/*.rules  | /bin/awk '{print} END {if (NR != 0) print "pass" ; else print "fail"}' || printf "ERROR: Variable 'UID_MIN' is unset.\n"' returned : 
awk: fatal: cannot open file `/etc/audit/rules.d/*.rules' for reading (Permission denied)
fail</t>
  </si>
  <si>
    <t>Monitor the use of system calls associated with the deletion or renaming of files and file attributes. This configuration statement sets up monitoring for:
 - unlink - remove a file
 - unlinkat - remove a file attribute
 - rename - rename a file
 - renameat rename a file attributesystem calls and tags them with the identifier "delete".
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t>
  </si>
  <si>
    <t>Create audit rules
Edit or create a file in the /etc/audit/rules.d/ directory, ending inrules extension, with the relevant rules to monitor file deletion events by users.
64 Bit systems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</si>
  <si>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5.2.3.12 Ensure login and logout events are collected</t>
  </si>
  <si>
    <t>'All of the following must pass to satisfy this requirement:
-------------------------
FAILED - auditctl faillock
The command 'auditctl -l | /bin/awk '/^ *-w/ &amp;&amp; /\/var\/run\/faillock/ &amp;&amp;/ +-p *wa/ &amp;&amp;(/ key= *[!-~]* *$/||/ -k *[!-~]* *$/)' | /bin/awk '{print} END {if (NR != 0) print "pass" ; else print "fail"}'' returned : 
You must be root to run this program.
fail
-------------------------
FAILED - faillock
The command '/bin/awk '/^ *-w/ &amp;&amp; /\/var\/run\/faillock/ &amp;&amp;/ +-p *wa/ &amp;&amp;(/ key= *[!-~]* *$/||/ -k *[!-~]* *$/)' /etc/audit/rules.d/*.rules | /bin/awk '{print} END {if (NR != 0) print "pass" ; else print "fail"}'' returned : 
awk: fatal: cannot open file `/etc/audit/rules.d/*.rules' for reading (Permission denied)
fail
-------------------------
FAILED - lastlog
The command '/bin/awk '/^ *-w/ &amp;&amp; /\/var\/log\/lastlog/ &amp;&amp;/ +-p *wa/ &amp;&amp;(/ key= *[!-~]* *$/||/ -k *[!-~]* *$/)' /etc/audit/rules.d/*.rules | /bin/awk '{print} END {if (NR != 0) print "pass" ; else print "fail"}'' returned : 
awk: fatal: cannot open file `/etc/audit/rules.d/*.rules' for reading (Permission denied)
fail
-------------------------
FAILED - auditctl lastlog
The command 'auditctl -l | /bin/awk '/^ *-w/ &amp;&amp; /\/var\/log\/lastlog/ &amp;&amp;/ +-p *wa/ &amp;&amp;(/ key= *[!-~]* *$/||/ -k *[!-~]* *$/)' | /bin/awk '{print} END {if (NR != 0) print "pass" ; else print "fail"}'' returned : 
You must be root to run this program.
fail</t>
  </si>
  <si>
    <t>Monitor login and logout events. The parameters below track changes to files associated with login/logout events.
 - /var/log/lastlog - maintain records of the last time a user successfully logged in.
 - /var/run/faillock - directory maintains records of login failures via the pam_faillock module.
Monitoring login/logout events could provide a system administrator with information associated with brute force attacks against user logins.</t>
  </si>
  <si>
    <t>Edit or create a file in the /etc/audit/rules.d/ directory, ending inrules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
"; fi</t>
  </si>
  <si>
    <t>800-171|3.3.1, 800-171|3.3.2, 800-171|3.3.6, 800-53|AU-3, 800-53|AU-3(1), 800-53|AU-7, 800-53|AU-12, 800-53r5|AU-3, 800-53r5|AU-3(1), 800-53r5|AU-7, 800-53r5|AU-12, CN-L3|7.1.2.3(a), CN-L3|7.1.2.3(b), CN-L3|7.1.2.3(c), CN-L3|7.1.3.3(a), CN-L3|7.1.3.3(b), CN-L3|8.1.4.3(b), CSCv7|4.9, CSCv7|16.11, CSCv7|16.13,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</si>
  <si>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5.2.3.11 Ensure session initiation information is collected</t>
  </si>
  <si>
    <t>'All of the following must pass to satisfy this requirement:
-------------------------
FAILED - auditctl utmp
The command 'auditctl -l | /bin/awk '/^ *-w/  &amp;&amp;/\/var\/run\/utmp/ &amp;&amp;/ +-p *wa/  &amp;&amp;(/ key= *[!-~]* *$/||/ -k *[!-~]* *$/)' | /bin/awk '{print} END {if (NR != 0) print "pass" ; else print "fail"}'' returned : 
You must be root to run this program.
fail
-------------------------
FAILED - utmp
The command '/bin/awk '/^ *-w/  &amp;&amp;/\/var\/run\/utmp/ &amp;&amp;/ +-p *wa/  &amp;&amp;(/ key= *[!-~]* *$/||/ -k *[!-~]* *$/)' /etc/audit/rules.d/*.rules | /bin/awk '{print} END {if (NR != 0) print "pass" ; else print "fail"}'' returned : 
awk: fatal: cannot open file `/etc/audit/rules.d/*.rules' for reading (Permission denied)
fail
-------------------------
FAILED - auditctl wtmp
The command 'auditctl -l | /bin/awk '/^ *-w/  &amp;&amp;/\/var\/log\/wtmp/ &amp;&amp;/ +-p *wa/  &amp;&amp;(/ key= *[!-~]* *$/||/ -k *[!-~]* *$/)' | /bin/awk '{print} END {if (NR != 0) print "pass" ; else print "fail"}'' returned : 
You must be root to run this program.
fail
-------------------------
FAILED - btmp
The command '/bin/awk '/^ *-w/  &amp;&amp;/\/var\/log\/btmp/ &amp;&amp;/ +-p *wa/  &amp;&amp;(/ key= *[!-~]* *$/||/ -k *[!-~]* *$/)' /etc/audit/rules.d/*.rules | /bin/awk '{print} END {if (NR != 0) print "pass" ; else print "fail"}'' returned : 
awk: fatal: cannot open file `/etc/audit/rules.d/*.rules' for reading (Permission denied)
fail
-------------------------
FAILED - auditctl btmp
The command 'auditctl -l | /bin/awk '/^ *-w/  &amp;&amp;/\/var\/log\/btmp/ &amp;&amp;/ +-p *wa/  &amp;&amp;(/ key= *[!-~]* *$/||/ -k *[!-~]* *$/)' | /bin/awk '{print} END {if (NR != 0) print "pass" ; else print "fail"}'' returned : 
You must be root to run this program.
fail
-------------------------
FAILED - wtmp
The command '/bin/awk '/^ *-w/  &amp;&amp;/\/var\/log\/wtmp/ &amp;&amp;/ +-p *wa/  &amp;&amp;(/ key= *[!-~]* *$/||/ -k *[!-~]* *$/)' /etc/audit/rules.d/*.rules | /bin/awk '{print} END {if (NR != 0) print "pass" ; else print "fail"}'' returned : 
awk: fatal: cannot open file `/etc/audit/rules.d/*.rules' for reading (Permission denied)
fail</t>
  </si>
  <si>
    <t>Monitor session initiation events. The parameters in this section track changes to the files associated with session events.
 - /var/run/utmp - tracks all currently logged in users.
 - /var/log/wtmp - file tracks logins, logouts, shutdown, and reboot events.
 - /var/log/btmp - keeps track of failed login attempts and can be read by entering the command /usr/bin/last -f /var/log/btmp
All audit records will be tagged with the identifier "session."
Monitoring these files for changes could alert a system administrator to logins occurring at unusual hours, which could indicate intruder activity (i.e. a user logging in at a time when they do not normally log in).</t>
  </si>
  <si>
    <t>Edit or create a file in the /etc/audit/rules.d/ directory, ending inrules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
"; fi</t>
  </si>
  <si>
    <t>800-171|3.3.1, 800-171|3.3.2, 800-171|3.3.6, 800-53|AU-3, 800-53|AU-3(1), 800-53|AU-7, 800-53|AU-12, 800-53r5|AU-3, 800-53r5|AU-3(1), 800-53r5|AU-7, 800-53r5|AU-12, CN-L3|7.1.2.3(a), CN-L3|7.1.2.3(b), CN-L3|7.1.2.3(c), CN-L3|7.1.3.3(a), CN-L3|7.1.3.3(b), CN-L3|8.1.4.3(b), CSCv7|4.9, CSCv7|16.13,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</si>
  <si>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5.2.3.10 Ensure successful file system mounts are collected</t>
  </si>
  <si>
    <t>'All of the following must pass to satisfy this requirement:
-------------------------
FAILED - auditctl b64
The command 'UID_MIN=$(awk '/^\s*UID_MIN/{print $2}' /etc/login.defs); [ -n "${UID_MIN}" ] &amp;&amp; auditctl -l | awk "/^ *-a *always,exit/ &amp;&amp;/ -F *arch=b64/ &amp;&amp;(/ -F *auid!=unset/||/ -F *auid!=-1/||/ -F *auid!=4294967295/) &amp;&amp;/ -F *auid&gt;=${UID_MIN}/ &amp;&amp;/ -S/ &amp;&amp;/mount/ &amp;&amp;(/ key= *[!-~]* *$/||/ -k *[!-~]* *$/)" | /bin/awk '{print} END {if (NR != 0) print "pass" ; else print "fail"}' || printf "ERROR: Variable 'UID_MIN' is unset.\n"' returned : 
You must be root to run this program.
fail
-------------------------
FAILED - b32
The command 'UID_MIN=$(awk '/^\s*UID_MIN/{print $2}' /etc/login.defs); [ -n "${UID_MIN}" ] &amp;&amp; awk "/^ *-a *always,exit/ &amp;&amp;/ -F *arch=b32/ &amp;&amp;(/ -F *auid!=unset/||/ -F *auid!=-1/||/ -F *auid!=4294967295/) &amp;&amp;/ -F *auid&gt;=${UID_MIN}/ &amp;&amp;/ -S/ &amp;&amp;/mount/ &amp;&amp;(/ key= *[!-~]* *$/||/ -k *[!-~]* *$/)" /etc/audit/rules.d/*.rules | /bin/awk '{print} END {if (NR != 0) print "pass" ; else print "fail"}' || printf "ERROR: Variable 'UID_MIN' is unset.\n"' returned : 
awk: fatal: cannot open file `/etc/audit/rules.d/*.rules' for reading (Permission denied)
fail
-------------------------
FAILED - b64
The command 'UID_MIN=$(awk '/^\s*UID_MIN/{print $2}' /etc/login.defs); [ -n "${UID_MIN}" ] &amp;&amp; awk "/^ *-a *always,exit/ &amp;&amp;/ -F *arch=b64/ &amp;&amp;(/ -F *auid!=unset/||/ -F *auid!=-1/||/ -F *auid!=4294967295/) &amp;&amp;/ -F *auid&gt;=${UID_MIN}/ &amp;&amp;/ -S/ &amp;&amp;/mount/ &amp;&amp;(/ key= *[!-~]* *$/||/ -k *[!-~]* *$/)" /etc/audit/rules.d/*.rules | /bin/awk '{print} END {if (NR != 0) print "pass" ; else print "fail"}' || printf "ERROR: Variable 'UID_MIN' is unset.\n"' returned : 
awk: fatal: cannot open file `/etc/audit/rules.d/*.rules' for reading (Permission denied)
fail
-------------------------
FAILED - auditctl b32
The command 'UID_MIN=$(awk '/^\s*UID_MIN/{print $2}' /etc/login.defs); [ -n "${UID_MIN}" ] &amp;&amp; auditctl -l | awk "/^ *-a *always,exit/ &amp;&amp;/ -F *arch=b32/ &amp;&amp;(/ -F *auid!=unset/||/ -F *auid!=-1/||/ -F *auid!=4294967295/) &amp;&amp;/ -F *auid&gt;=${UID_MIN}/ &amp;&amp;/ -S/ &amp;&amp;/mount/ &amp;&amp;(/ key= *[!-~]* *$/||/ -k *[!-~]* *$/)" | /bin/awk '{print} END {if (NR != 0) print "pass" ; else print "fail"}' || printf "ERROR: Variable 'UID_MIN' is unset.\n"' returned : 
You must be root to run this program.
fail</t>
  </si>
  <si>
    <t>Monitor the use of the mount system call. The mount (and umount ) system call controls the mounting and unmounting of file systems. The parameters below configure the system to create an audit record when the mount system call is used by a non-privileged user
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t>
  </si>
  <si>
    <t>Create audit rules
Edit or create a file in the /etc/audit/rules.d/ directory, ending inrules extension, with the relevant rules to monitor successful file system mounts.
64 Bit systems
Example:
# {
UID_MIN=$(awk '/^s*UID_MIN/{print $2}' /etc/login.defs)
[ -n "${UID_MIN}" ] &amp;&amp; printf "
-a always,exit -F arch=b32 -S mount -F auid&gt;=1000 -F auid!=unset -k mounts
-a always,exit -F arch=b64 -S mount -F auid&gt;=1000 -F auid!=unset -k mounts
" &gt;&gt; /etc/audit/rules.d/50-mounts.rules || printf "ERROR: Variable 'UID_MIN' is unset.
"
}
Load audit rules
Merge and load the rules into active configuration:
# augenrules --load
Check if reboot is required.
# if [[ $(auditctl -s | grep "enabled") =~ "2" ]]; then printf "Reboot required to load rules
"; fi
32 Bit systems
Follow the same procedures as for 64 bit systems and ignore any entries with b64</t>
  </si>
  <si>
    <t>800-171|3.3.1, 800-171|3.3.2, 800-171|3.3.6,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ITSG-33|AU-3, ITSG-33|AU-3(1), ITSG-33|AU-7, ITSG-33|AU-12, LEVEL|2A,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</si>
  <si>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5.2.3.1 Ensure changes to system administration scope (sudoers) is collected</t>
  </si>
  <si>
    <t>'All of the following must pass to satisfy this requirement:
-------------------------
FAILED - auditctl /etc/sudoers
The command '/sbin/auditctl -l | /bin/awk '/^ *-w/ &amp;&amp;/\/etc\/sudoers/ &amp;&amp;/ +-p *wa/ &amp;&amp;(/ key= *[!-~]* *$/||/ -k *[!-~]* *$/)' | /bin/awk '{print} END {if (NR != 0) print "pass" ; else print "fail"}'' returned : 
You must be root to run this program.
fail
-------------------------
FAILED - /etc/sudoers.d
The command '/bin/awk '/^ *-w/ &amp;&amp;/\/etc\/sudoers\.d/ &amp;&amp;/ +-p *wa/ &amp;&amp;(/ key= *[!-~]* *$/||/ -k *[!-~]* *$/)' /etc/audit/rules.d/*.rules | /bin/awk '{print} END {if (NR != 0) print "pass" ; else print "fail"}'' returned : 
awk: fatal: cannot open file `/etc/audit/rules.d/*.rules' for reading (Permission denied)
fail
-------------------------
FAILED - /etc/sudoers
The command '/bin/awk '/^ *-w/ &amp;&amp;/\/etc\/sudoers/ &amp;&amp;/ +-p *wa/ &amp;&amp;(/ key= *[!-~]* *$/||/ -k *[!-~]* *$/)' /etc/audit/rules.d/*.rules | /bin/awk '{print} END {if (NR != 0) print "pass" ; else print "fail"}'' returned : 
awk: fatal: cannot open file `/etc/audit/rules.d/*.rules' for reading (Permission denied)
fail
-------------------------
FAILED - auditctl /etc/sudoers.d
The command '/sbin/auditctl -l | /bin/awk '/^ *-w/ &amp;&amp;/\/etc\/sudoers\.d/ &amp;&amp;/ +-p *wa/ &amp;&amp;(/ key= *[!-~]* *$/||/ -k *[!-~]* *$/)' | /bin/awk '{print} END {if (NR != 0) print "pass" ; else print "fail"}'' returned : 
You must be root to run this program.
fail</t>
  </si>
  <si>
    <t>Monitor scope changes for system administrators. If the system has been properly configured to force system administrators to log in as themselves first and then use the sudo command to execute privileged commands, it is possible to monitor changes in scope. The file /etc/sudoers or files in /etc/sudoers.d will be written to when the file(s) or related attributes have changed. The audit records will be tagged with the identifier "scope".
Changes in the /etc/sudoers and /etc/sudoers.d files can indicate that an unauthorized change has been made to the scope of system administrator activity.</t>
  </si>
  <si>
    <t>Edit or create a file in the /etc/audit/rules.d/ directory, ending inrules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
"; fi</t>
  </si>
  <si>
    <t>5.2.2.4 Ensure system warns when audit logs are low on space</t>
  </si>
  <si>
    <t>All of the following must pass to satisfy this requirement:
-------------------------
FAILED - admin_space_left_action
No files found: /etc/audit/auditd.conf
-------------------------
FAILED - space_left_action
No files found: /etc/audit/auditd.conf</t>
  </si>
  <si>
    <t>The auditd daemon can be configured to halt the system, put the system in single user mode or send a warning message, if the partition that holds the audit log files is low on space.
The space_left_action parameter tells the system what action to take when the system has detected that it is starting to get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admin_space_left_action parameter tells the system what action to take when the system has detected that it is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In high security contexts, the risk of detecting unauthorized access or nonrepudiation exceeds the benefit of the system's availability.</t>
  </si>
  <si>
    <t>Set the space_left_action parameter in /etc/audit/auditd.conf to email exec single or halt :
Example:
space_left_action = email
Set the admin_space_left_action parameter in /etc/audit/auditd.conf to single or halt :
Example:
admin_space_left_action = single
Note: A Mail Transfer Agent (MTA) must be installed and configured properly to set space_left_action = email
Impact:
If the admin_space_left_action is set to single the audit daemon will put the computer system in single user mode.</t>
  </si>
  <si>
    <t>800-171|3.3.1, 800-171|3.3.2, 800-171|3.3.6, 800-53|AU-2, 800-53|AU-4, 800-53|AU-7, 800-53|AU-12, 800-53r5|AU-2, 800-53r5|AU-4, 800-53r5|AU-7, 800-53r5|AU-12, CN-L3|7.1.2.3(c), CN-L3|8.1.4.3(a), CSCv8|8.2, CSCv8|8.3, CSF|DE.CM-1, CSF|DE.CM-3, CSF|DE.CM-7, CSF|PR.DS-4, CSF|PR.PT-1, CSF|RS.AN-3, CSF2.0|DE.CM-01, CSF2.0|DE.CM-03, CSF2.0|DE.CM-09, CSF2.0|PR.PS-04, CSF2.0|RS.AN-03, CSF2.0|RS.AN-06, CSF2.0|RS.AN-07, GDPR|32.1.b, HIPAA|164.306(a)(1), HIPAA|164.312(b), ITSG-33|AU-2, ITSG-33|AU-4, ITSG-33|AU-7, ITSG-33|AU-12, LEVEL|2A, NESA|M1.2.2, NESA|M5.5.1, NESA|T3.3.1, NESA|T3.6.2, NIAv2|AM7, NIAv2|AM11a, NIAv2|AM11b, NIAv2|AM11c, NIAv2|AM11d, NIAv2|AM11e, NIAv2|SS30, NIAv2|VL8, PCI-DSSv3.2.1|10.1, QCSC-v1|3.2, QCSC-v1|6.2, QCSC-v1|8.2.1, QCSC-v1|10.2.1, QCSC-v1|11.2, QCSC-v1|13.2, SWIFT-CSCv1|6.4</t>
  </si>
  <si>
    <t>5.2.2.3 Ensure system is disabled when audit logs are full</t>
  </si>
  <si>
    <t>'All of the following must pass to satisfy this requirement:
-------------------------
FAILED - disk_full_action
No files found: /etc/audit/auditd.conf
-------------------------
FAILED - disk_error_action = root
No files found: /etc/audit/auditd.conf</t>
  </si>
  <si>
    <t>The auditd daemon can be configured to halt the system or put the system in single user mode, if no free space is available or an error is detected on the partition that holds the audit log files.
The disk_full_action parameter tells the system what action to take when no free space is available on the partition that holds the audit log files. Valid values are ignore syslog rotate exec suspend single and halt
 - ignore the audit daemon will issue a syslog message but no other action is taken
 - syslog the audit daemon will issue a warning to syslog
 - rotate the audit daemon will rotate logs, losing the oldest to free up space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disk_error_action parameter tells the system what action to take when an error is detected on the partition that holds the audit log files. Valid values are ignore syslog exec suspend single and halt
 - ignore the audit daemon will not take any action
 - syslog the audit daemon will issue no more than 5 consecutive warnings to syslog
 - exec /path-to-script will execute the script. You cannot pass parameters to the script
 - suspend the audit daemon will stop writing records to the disk
 - single the audit daemon will put the computer system in single user mode
 - halt the audit daemon will shut down the system
In high security contexts, the risk of detecting unauthorized access or nonrepudiation exceeds the benefit of the system's availability.</t>
  </si>
  <si>
    <t>Set one of the following parameters in /etc/audit/auditd.conf depending on your local security policies.
disk_full_action = &lt;halt|single&gt;
disk_error_action = &lt;syslog|single|halt&gt;
Example:
disk_full_action = halt
disk_error_action = halt
Impact:
-IF-
 - The disk_full_action parameter is set to halt the auditd daemon will shutdown the system when the disk partition containing the audit logs becomes full.
 - The disk_full_action parameter is set to single the auditd daemon will put the computer system in single user mode when the disk partition containing the audit logs becomes full.
-IF-
 - The disk_error_action parameter is set to halt the auditd daemon will shutdown the system when an error is detected on the partition that holds the audit log files.
 - The disk_error_action parameter is set to single the auditd daemon will put the computer system in single user mode when an error is detected on the partition that holds the audit log files.
 - The disk_error_action parameter is set to syslog the auditd daemon will issue no more than 5 consecutive warnings to syslog when an error is detected on the partition that holds the audit log files.</t>
  </si>
  <si>
    <t>5.2.2.2 Ensure audit logs are not automatically deleted</t>
  </si>
  <si>
    <t>No files found: /etc/audit/auditd.conf</t>
  </si>
  <si>
    <t>expect: ^[\s]*max_log_file_action[\s]*=[\s]*(?i)keep_logs(?-i)[\s]*$
file: /etc/audit/auditd.conf
regex: ^[\s]*max_log_file_action[\s]*=</t>
  </si>
  <si>
    <t>The max_log_file_action setting determines how to handle the audit log file reaching the max file size. A value of keep_logs will rotate the logs but never delete old logs.
In high security contexts, the benefits of maintaining a long audit history exceed the cost of storing the audit history.</t>
  </si>
  <si>
    <t>Set the following parameter in /etc/audit/auditd.conf:
max_log_file_action = keep_logs</t>
  </si>
  <si>
    <t>800-53|AU-4, 800-53r5|AU-4, CSCv7|6.4, CSCv8|8.3, CSF|PR.DS-4, CSF|PR.PT-1, GDPR|32.1.b, HIPAA|164.306(a)(1), HIPAA|164.312(b), ITSG-33|AU-4, LEVEL|2A, NESA|T3.3.1, NESA|T3.6.2, QCSC-v1|8.2.1, QCSC-v1|13.2</t>
  </si>
  <si>
    <t>5.2.2.1 Ensure audit log storage size is configured</t>
  </si>
  <si>
    <t>expect: ^[\s]*max_log_file[\s]*=[\s]*32[\s]*$
file: /etc/audit/auditd.conf
regex: ^[\s]*max_log_file[\s]*=</t>
  </si>
  <si>
    <t>Configure the maximum size of the audit log file. Once the log reaches the maximum size, it will be rotated and a new log file will be started.
It is important that an appropriate size is determined for log files so that they do not impact the system and audit data is not lost.</t>
  </si>
  <si>
    <t>Set the following parameter in /etc/audit/auditd.conf in accordance with site policy:
max_log_file = &lt;MB&gt;</t>
  </si>
  <si>
    <t>5.2.1.3 Ensure audit_backlog_limit is sufficient</t>
  </si>
  <si>
    <t>'All of the following must pass to satisfy this requirement:
-------------------------
FAILED - grubby
The command '/sbin/grubby --info=ALL | /bin/grep -Po '\baudit_backlog_limit=8192\b' | /bin/awk '{print} END {if (NR != 0) print "pass" ; else print "fail"}'' returned : 
fail
-------------------------
PASSED - /etc/default/grub
Compliant file(s):
      /etc/default/grub - regex '^\h*GRUB_CMDLINE_LINUX=\"([^#\n\r]+\h+)?\baudit_backlog_limit=\d+\b' found - expect 'audit_backlog_limit=8192\b' found in the following lines:
          6: GRUB_CMDLINE_LINUX="crashkernel=auto rd.lvm.lv=ol/root rd.lvm.lv=ol/swap rhgb quiet audit=1 audit_backlog_limit=8192"</t>
  </si>
  <si>
    <t>The audit_backlog_limit parameter determines how auditd records can be held in the auditd backlog. The default setting of 64 may be insufficient to store all audit events during boot.
During boot if audit=1 then the backlog will hold 64 records. If more than 64 records are created during boot, auditd records will be lost and potential malicious activity could go undetected.</t>
  </si>
  <si>
    <t>Run the following command to add audit_backlog_limit=&lt;BACKLOG SIZE&gt; to GRUB_CMDLINE_LINUX:
# grubby --update-kernel ALL --args 'audit_backlog_limit=&lt;BACKLOG SIZE&gt;'
Example:
# grubby --update-kernel ALL --args 'audit_backlog_limit=8192'
Edit /etc/default/grub and add audit_backlog_limit=&lt;BACKLOG SIZE&gt; to the GRUB_CMDLINE_LINUX= line between the opening and closing double quotes:
Example:
GRUB_CMDLINE_LINUX="quiet audit_backlog_limit=8192"
Note: Other parameters may also be listed</t>
  </si>
  <si>
    <t>5.2.1.2 Ensure auditing for processes that start prior to auditd is enabled</t>
  </si>
  <si>
    <t>'All of the following must pass to satisfy this requirement:
-------------------------
FAILED - grubby
The command '/sbin/grubby --info=ALL | /bin/grep -Po '\baudit=1\b' | /bin/awk '{print} END {if (NR != 0) print "pass" ; else print "fail"}'' returned : 
fail
-------------------------
PASSED - /etc/default/grub
Compliant file(s):
      /etc/default/grub - regex '^\h*GRUB_CMDLINE_LINUX=\"([^#\n\r]+\h+)?\baudit=\d+\b' found - expect 'audit=1\b' found in the following lines:
          6: GRUB_CMDLINE_LINUX="crashkernel=auto rd.lvm.lv=ol/root rd.lvm.lv=ol/swap rhgb quiet audit=1 audit_backlog_limit=8192"</t>
  </si>
  <si>
    <t>Configure grub2 so that processes that are capable of being audited can be audited even if they start up prior to auditd startup.
Audit events need to be captured on processes that start up prior to auditd so that potential malicious activity cannot go undetected.</t>
  </si>
  <si>
    <t>Run the following command to update the grub2 configuration with audit=1 :
# grubby --update-kernel ALL --args 'audit=1'
Edit /etc/default/grub and add audit=1 to the GRUB_CMDLINE_LINUX= line between the opening and closing double quotes:
Example:
GRUB_CMDLINE_LINUX="quiet audit=1"
Note: Other parameters may also be listed</t>
  </si>
  <si>
    <t>4.4.2.1.4 Ensure password failed attempts lockout includes root account</t>
  </si>
  <si>
    <t>All of the following must pass to satisfy this requirement:
-------------------------
FAILED - password-auth preauth root_unlock_time
File permission denied: /etc/pam.d/password-auth
-------------------------
FAILED - system-auth preauth root_unlock_time
File permission denied: /etc/pam.d/system-auth
-------------------------
FAILED - system-auth authfail root_unlock_time
File permission denied: /etc/pam.d/system-auth
-------------------------
FAILED - password-auth authfail root_unlock_time
File permission denied: /etc/pam.d/password-auth</t>
  </si>
  <si>
    <t>even_deny_root - Root account can become locked as well as regular accounts
root_unlock_time=n - This option implies even_deny_root option. Allow access after n seconds to root account after the account is locked. In case the option is not specified the value is the same as of the unlock_time option.
Locking out user IDs after n unsuccessful consecutive login attempts mitigates brute force password attacks against your systems.</t>
  </si>
  <si>
    <t>Edit the files /etc/pam.d/system-auth and /etc/pam.d/password-auth :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Impact:
Use of unlock_time=0 or root_unlock_time=0 may allow an attacker to cause denial of service to legitimate users.</t>
  </si>
  <si>
    <t>800-171|3.1.1, 800-53|AC-1, 800-53|AC-2, 800-53|AC-2(1), 800-53r5|AC-1, 800-53r5|AC-2, 800-53r5|AC-2(1), CN-L3|7.1.3.2(d), CN-L3|8.1.4.2(e), CN-L3|8.1.10.6(c), CSCv7|16.7, CSCv8|6.2, CSF|DE.CM-1, CSF|DE.CM-3, CSF|ID.GV-1, CSF|ID.GV-3, CSF|PR.AC-1, CSF|PR.AC-4, CSF2.0|DE.CM-01, CSF2.0|DE.CM-03, CSF2.0|GV.OC-03, CSF2.0|GV.OV-01, CSF2.0|GV.PO-01, CSF2.0|GV.PO-02, CSF2.0|GV.SC-03, CSF2.0|ID.IM-01, CSF2.0|ID.IM-02, CSF2.0|ID.IM-03, CSF2.0|PR.AA-01, CSF2.0|PR.AA-05, CSF2.0|PR.DS-10, GDPR|32.1.b, HIPAA|164.306(a)(1), HIPAA|164.312(a)(1), ISO/IEC-27001|A.9.1.1, ISO/IEC-27001|A.9.2.1, ITSG-33|AC-1, ITSG-33|AC-2, ITSG-33|AC-2(1), LEVEL|2A, NESA|M1.2.2, NIAv2|AM28, NIAv2|AM29, NIAv2|AM30, NIAv2|NS5j, NIAv2|SS14e, QCSC-v1|3.2, QCSC-v1|5.2.2, QCSC-v1|8.2.1, QCSC-v1|13.2, QCSC-v1|15.2</t>
  </si>
  <si>
    <t>4.2.9 Ensure sshd GSSAPIAuthentication is disabled</t>
  </si>
  <si>
    <t>All of the following must pass to satisfy this requirement:
-------------------------
FAILED - sshd_config
File permission denied: /etc/ssh/sshd_config
-------------------------
PASSED - sshd output
The command script with multiple lines returned : 
/etc/ssh/sshd_config: Permission denied
port 22: 
Pass</t>
  </si>
  <si>
    <t>The GSSAPIAuthentication parameter specifies whether user authentication based on GSSAPI is allowed
Allowing GSSAPI authentication through SSH exposes the system's GSSAPI to remote hosts, and should be disabled to reduce the attack surface of the system</t>
  </si>
  <si>
    <t>Edit the /etc/ssh/sshd_config file to set the GSSAPIAuthentication parameter to no above any Match statement:
GSSAPIAuthentication no
Note: First occurrence of a option takes precedence, Match set statements withstanding.</t>
  </si>
  <si>
    <t>800-171|3.4.6, 800-171|3.4.7, 800-53|CM-7b., 800-53r5|CM-7b., CN-L3|7.1.3.5(c), CN-L3|7.1.3.7(d), CN-L3|8.1.4.4(b), CSF|PR.IP-1, CSF|PR.PT-3, CSF2.0|PR.PS-01, GDPR|32.1.b, HIPAA|164.306(a)(1), ITSG-33|CM-7a., LEVEL|2A, NIAv2|SS13b, NIAv2|SS14a, NIAv2|SS14c, PCI-DSSv3.2.1|2.2.2, PCI-DSSv4.0|2.2.4, QCSC-v1|3.2, SWIFT-CSCv1|2.3</t>
  </si>
  <si>
    <t>1.1.2.7.1 Ensure separate partition exists for /var/log/audit</t>
  </si>
  <si>
    <t>The following file(s) do not contain "[\s]+/var/log/audit[\s]+": 
      /proc/self/mountinfo</t>
  </si>
  <si>
    <t>expect: [\s]+/var/log/audit[\s]+
file: /proc/self/mountinfo
regex: [\s]+/var/log/audit[\s]+</t>
  </si>
  <si>
    <t>The auditing daemon, auditd stores log data in the /var/log/audit directory.
The reasoning for mounting /var/log/audit on a separate partition is as follows.
Protection from resource exhaustion
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Fine grained control over the mount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Protection of audit data
As /var/log/audit contains audit logs, care should be taken to ensure the security and integrity of the data and mount point.</t>
  </si>
  <si>
    <t>For new installations, during installation create a custom partition setup and specify a separate partition for /var/log/audit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</si>
  <si>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1.1.2.6.1 Ensure separate partition exists for /var/log</t>
  </si>
  <si>
    <t>The following file(s) do not contain "[\s]+/var/log[\s]+": 
      /proc/self/mountinfo</t>
  </si>
  <si>
    <t>expect: [\s]+/var/log[\s]+
file: /proc/self/mountinfo
regex: [\s]+/var/log[\s]+</t>
  </si>
  <si>
    <t>The /var/log directory is used by system services to store log data.
The reasoning for mounting /var/log on a separate partition is as follows.
Protection from resource exhaustion
The default installation only creates a single / partition. Since the /var/log directory contains log files which can grow quite large, there is a risk of resource exhaustion. It will essentially have the whole disk available to fill up and impact the system as a whole.
Fine grained control over the mount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Protection of log data
As /var/log contains log files, care should be taken to ensure the security and integrity of the data and mount point.</t>
  </si>
  <si>
    <t>For new installations, during installation create a custom partition setup and specify a separate partition for /var/log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</si>
  <si>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1.1.2.5.1 Ensure separate partition exists for /var/tmp</t>
  </si>
  <si>
    <t>The following file(s) do not contain "[\s]+/var/tmp[\s]+": 
      /proc/self/mountinfo</t>
  </si>
  <si>
    <t>expect: [\s]+/var/tmp[\s]+
file: /proc/self/mountinfo
regex: [\s]+/var/tmp[\s]+</t>
  </si>
  <si>
    <t>The /var/tmp directory is a world-writable directory used for temporary storage by all users and some applications. Temporary files residing in /var/tmp are to be preserved between reboots.
The reasoning for mounting /var/tmp on a separate partition is as follows.
Protection from resource exhaustion
The default installation only creates a single / partition. Since the /var/tmp directory may contain world-writable files and directories, there is a risk of resource exhaustion. It will essentially have the whole disk available to fill up and impact the system as a whole. In addition, other operations on the system could fill up the disk unrelated to /var/tmp and cause potential disruption to daemons as the disk is full.
Fine grained control over the mount
Configuring /var/tmp as its own file system allows an administrator to set additional mount options such as noexec/nosuid/nodev These options limits an attackers ability to create exploits on the system. Other options allow for specific behavior. See man mount for exact details regarding filesystem-independent and filesystem-specific options.
Protection from exploitation
An example of exploiting /var/tmp may be an attacker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</si>
  <si>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For new installations, during installation create a custom partition setup and specify a separate partition for /var/tmp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</si>
  <si>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CIS_Oracle_Linux_7_v4.0.0_L1_Server.audit</t>
  </si>
  <si>
    <t>6.2.8 Ensure root path integrity</t>
  </si>
  <si>
    <t>The command script with multiple lines returned : 
sudo: no tty present and no askpass program specified
- Audit Result:
  ** FAIL **
 - * Reasons for audit failure * :
 - "" is not a directory</t>
  </si>
  <si>
    <t>cmd: multiple line script
dont_echo_cmd: NO
expect: (?i)^[\s]*\**[\s]*pass:?[\s]*\**$</t>
  </si>
  <si>
    <t>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t>
  </si>
  <si>
    <t>Correct or justify any:
 - Locations that are not directories
 - Empty directories ( :: )
 - Trailing ( : )
 - Current working directory ( )
 - Non root owned directories
 - Directories that less restrictive than mode 0755</t>
  </si>
  <si>
    <t>800-171|3.4.7, 800-171r3|03.04.06, 800-53|CM-7(2), 800-53r5|CM-7(2), CSF|PR.IP-1, CSF|PR.PT-3, CSF2.0|PR.PS-01, GDPR|32.1.b, HIPAA|164.306(a)(1), ITSG-33|CM-7(2), LEVEL|1A, NIAv2|SS15a, PCI-DSSv3.2.1|2.2.2, QCSC-v1|3.2, SWIFT-CSCv1|2.3</t>
  </si>
  <si>
    <t>5.3.2 Ensure filesystem integrity is regularly checked</t>
  </si>
  <si>
    <t>'All of the following must pass to satisfy this requirement:
-------------------------
FAILED - aidecheck.timer is enabled
The command '/bin/systemctl is-enabled aidecheck.timer | /bin/awk '{print} END {if(NR==0) print "disabled" }'' returned : 
Failed to get unit file state for aidecheck.timer: No such file or directory
disabled
-------------------------
FAILED - aidecheck.service is enabled
The command '/bin/systemctl is-enabled aidecheck.service | /bin/awk '{print} END {if(NR==0) print "disabled" }'' returned : 
Failed to get unit file state for aidecheck.service: No such file or directory
disabled
-------------------------
FAILED - systemctl status aidecheck.timer
The command '/bin/systemctl status aidecheck.timer' returned : 
Unit aidecheck.timer could not be found.</t>
  </si>
  <si>
    <t>Periodic checking of the filesystem integrity is needed to detect changes to the filesystem.
Periodic file checking allows the system administrator to determine on a regular basis if critical files have been changed in an unauthorized fashion.</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</si>
  <si>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</si>
  <si>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800-171|3.1.7, 800-171|3.3.1, 800-171|3.3.2, 800-171r3|03.01.07b., 800-171r3|03.03.01, 800-171r3|03.03.03, 800-53|AC-6(9), 800-53|AU-2, 800-53|AU-12, 800-53r5|AC-6(9), 800-53r5|AU-2, 800-53r5|AU-12, CN-L3|7.1.3.2(b), CN-L3|7.1.3.2(g), CN-L3|8.1.4.2(d), CN-L3|8.1.4.3(a), CN-L3|8.1.10.6(a), CSCv7|14.9, CSCv8|3.14, CSF|DE.CM-1, CSF|DE.CM-3, CSF|DE.CM-7, CSF|PR.AC-4, CSF|PR.PT-1, CSF2.0|DE.CM-01, CSF2.0|DE.CM-03, CSF2.0|DE.CM-09, CSF2.0|PR.AA-05, CSF2.0|PR.PS-04, GDPR|32.1.b, HIPAA|164.306(a)(1), HIPAA|164.312(a)(1), HIPAA|164.312(b), ISO-27001-2022|A.5.15, ISO-27001-2022|A.8.2, ISO-27001-2022|A.8.15, ISO-27001-2022|A.8.18, ISO/IEC-27001|A.12.4.3, ITSG-33|AC-6, ITSG-33|AU-2, ITSG-33|AU-12, LEVEL|1A, NESA|M1.2.2, NESA|M5.5.1, NESA|T5.1.1, NESA|T5.2.2, NESA|T5.5.4, NESA|T7.5.3, NIAv2|AM1, NIAv2|AM7, NIAv2|AM11a, NIAv2|AM11b, NIAv2|AM11c, NIAv2|AM11d, NIAv2|AM11e, NIAv2|AM23f, NIAv2|SS13c, NIAv2|SS15c, NIAv2|SS30, NIAv2|VL8, PCI-DSSv3.2.1|7.1.2, PCI-DSSv3.2.1|10.1, PCI-DSSv4.0|7.2.1, PCI-DSSv4.0|7.2.2, QCSC-v1|3.2, QCSC-v1|5.2.2, QCSC-v1|6.2, QCSC-v1|8.2.1, QCSC-v1|13.2, SWIFT-CSCv1|5.1, SWIFT-CSCv1|6.4, TBA-FIISB|31.4.2, TBA-FIISB|31.4.3</t>
  </si>
  <si>
    <t>5.3.1 Ensure AIDE is installed</t>
  </si>
  <si>
    <t>The package 'aide-0.0.0-0' is not installed</t>
  </si>
  <si>
    <t>operator: gt
required: YES
rpm: aide-0.0.0-0</t>
  </si>
  <si>
    <t>Advanced Intrusion Detection Environment (AIDE) is a intrusion detection tool that uses predefined rules to check the integrity of files and directories in the Linux operating system. AIDE has its own database to check the integrity of files and directories.
aide takes a snapshot of files and directories including modification times, permissions, and file hashes which can then be used to compare against the current state of the filesystem to detect modifications to the system.
By monitoring the filesystem state compromised files can be detected to prevent or limit the exposure of accidental or malicious misconfigurations or modified binaries.</t>
  </si>
  <si>
    <t>Run the following command to install aide :
# yum install aide
Configure aide as appropriate for your environment. Consult the aide documentation for options.
Initialize aide :
Run the following commands:
# aide --init # mv /var/lib/aide/aide.db.new.gz /var/lib/aide/aide.db.gz</t>
  </si>
  <si>
    <t>5.1.4 Ensure all logfiles have appropriate access configured</t>
  </si>
  <si>
    <t>The command script with multiple lines returned : 
find: '/var/log/audit.old.backup.3810': Permission denied
find: '/var/log/audit': Permission denied
- Audit Results:
 ** Fail **
 - File: "/var/log/dmesg" is:
  - Mode: "0644" should be "640" or more restrictive</t>
  </si>
  <si>
    <t>cmd: multiple line script
dont_echo_cmd: NO
expect: (?i)^[\s]*\**[\s]*pass:?[\s]*\**$
timeout: 7200</t>
  </si>
  <si>
    <t>Log files stored in /var/log/ contain logged information from many services on the system and potentially from other logged hosts as well.
It is important that log files have the correct permissions to ensure that sensitive data is protected and that only the appropriate users / groups have access to them.</t>
  </si>
  <si>
    <t>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
 - Mode: \"$l_mode\" should be \"$maxperm\" or more restrictive
 - Removing excess permissions"
         chmod "$l_rperms" "$l_fname"
      fi
      if [[ ! "$l_user" =~ $l_auser ]]; then
         l_op2="$l_op2
 - Owned by: \"$l_user\" and should be owned by \"${l_auser//|/ or }\"
 - Changing ownership to: \"$l_fuser\""
         chown "$l_fuser" "$l_fname"
      fi
      if [[ ! "$l_group" =~ $l_agroup ]]; then
         l_op2="$l_op2
 - Group owned by: \"$l_group\" and should be group owned by \"${l_agroup//|/ or }\"
 - Changing group ownership to: \"$l_fgroup\""
         chgrp "$l_fgroup" "$l_fname"
      fi
      [ -n "$l_op2" ] &amp;&amp; l_output2="$l_output2
 - File: \"$l_fname\" is:$l_op2
"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
' "${a_file[@]}")"
   unset a_file # Clear array
   # If all files passed, then we report no changes
   if [ -z "$l_output2" ]; then
      echo -e "- All files in \"/var/log/\" have appropriate permissions and ownership
 - No changes required
"
   else
      # print report of changes
      echo -e "
$l_output2"
   fi
}
Note: You may also need to change the configuration for your logging software or services for any logs that had incorrect permissions.
If there are services that log to other locations, ensure that those log files have the appropriate access configured.</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</si>
  <si>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CSCv7|14.6,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</si>
  <si>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5.1.1.5 Ensure logging is configured</t>
  </si>
  <si>
    <t>'All of the following must pass to satisfy this requirement:
-------------------------
FAILED - 'mail.err /var/log/mail.err'
No matching files were found
Less than 1 matches of regex found
-------------------------
FAILED - 'local6,local7.* -/var/log/localmessages'
No matching files were found
Less than 1 matches of regex found
-------------------------
FAILED - 'auth,authpriv.* /var/log/secure'
No matching files were found
Less than 1 matches of regex found
-------------------------
FAILED - 'local2,local3.* -/var/log/localmessages'
No matching files were found
Less than 1 matches of regex found
-------------------------
PASSED - '*.=warning;*.=err -/var/log/warn'
Compliant file(s):
      /etc/rsyslog.conf - regex not found
      /etc/rsyslog.d/50-essential-facilities.conf - regex '^[\s]*\*\.=warning;\*\.=err' found - expect '\*\.=warning;\*\.=err[\s]+-/var/log/warn[\s]*$' found in the following lines:
          22: *.=warning;*.=err -/var/log/warn
      /etc/rsyslog.d/50-remote-logging.conf - regex not found
      /etc/rsyslog.d/listen.conf - regex not found
-------------------------
PASSED - '*.emerg :omusrmsg:*'
Compliant file(s):
      /etc/rsyslog.conf - regex '^[\s]*\*\.emerg' found - expect '\*\.emerg\s+:omusrmsg:\*$' found in the following lines:
          67: *.emerg                                                 :omusrmsg:*
      /etc/rsyslog.d/50-essential-facilities.conf - regex '^[\s]*\*\.emerg' found - expect '\*\.emerg\s+:omusrmsg:\*$' found in the following lines:
          3: *.emerg :omusrmsg:*
      /etc/rsyslog.d/50-remote-logging.conf - regex not found
      /etc/rsyslog.d/listen.conf - regex not found
-------------------------
FAILED - 'mail.info -/var/log/mail.info'
No matching files were found
Less than 1 matches of regex found
-------------------------
FAILED - 'mail.* -/var/log/mail'
Non-compliant file(s):
      /etc/rsyslog.conf - regex '^[\s]*mail\.\*' found - expect 'mail\.\*[\s]+-/var/log/mail[\s]*$' not found in the following lines:
          60: mail.*                                                  -/var/log/maillog
-------------------------
PASSED - '*.crit /var/log/warn'
Compliant file(s):
      /etc/rsyslog.conf - regex not found
      /etc/rsyslog.d/50-essential-facilities.conf - regex '^[\s]*\*\.crit' found - expect '\*\.crit[\s]+/var/log/warn[\s]*$' found in the following lines:
          23: *.crit /var/log/warn
      /etc/rsyslog.d/50-remote-logging.conf - regex not found
      /etc/rsyslog.d/listen.conf - regex not found
-------------------------
PASSED - 'cron.* /var/log/cron'
Compliant file(s):
      /etc/rsyslog.conf - regex '^[\s]*cron\.*' found - expect 'cron\.\*[\s]+/var/log/cron[\s]*$' found in the following lines:
          64: cron.*                                                  /var/log/cron
      /etc/rsyslog.d/50-essential-facilities.conf - regex not found
      /etc/rsyslog.d/50-remote-logging.conf - regex not found
      /etc/rsyslog.d/listen.conf - regex not found
-------------------------
FAILED - 'mail.warning -/var/log/mail.warn'
No matching files were found
Less than 1 matches of regex found
-------------------------
FAILED - '*.*;mail.none;news.none -/var/log/messages'
No matching files were found
Less than 1 matches of regex found
-------------------------
FAILED - 'local4,local5.* -/var/log/localmessages'
No matching files were found
Less than 1 matches of regex found
-------------------------
FAILED - 'local0,local1.* -/var/log/localmessages'
No matching files were found
Less than 1 matches of regex found</t>
  </si>
  <si>
    <t>The /etc/rsyslog.conf and /etc/rsyslog.d/*.conf files specifies rules for logging and which files are to be used to log certain classes of messages.
A great deal of important security-related information is sent via rsyslog (e.g., successful and failed su attempts, failed login attempts, root login attempts, etc.).</t>
  </si>
  <si>
    <t>Edit the following lines in the /etc/rsyslog.conf and /etc/rsyslog.d/*.conf files as appropriate for your environment.
Note: The below configuration is shown for example purposes only. Due care should be given to how the organization wish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</si>
  <si>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800-171|3.3.1, 800-171|3.3.2, 800-171|3.3.6, 800-171r3|03.03.01, 800-171r3|03.03.03, 800-171r3|03.03.06a., 800-53|AU-2, 800-53|AU-7, 800-53|AU-12, 800-53r5|AU-2, 800-53r5|AU-7, 800-53r5|AU-12, CN-L3|7.1.2.3(c), CN-L3|8.1.4.3(a), CSCv7|6.2, CSCv7|6.3, CSCv8|8.2, CSF|DE.CM-1, CSF|DE.CM-3, CSF|DE.CM-7, CSF|PR.PT-1, CSF|RS.AN-3, CSF2.0|DE.CM-01, CSF2.0|DE.CM-03, CSF2.0|DE.CM-09, CSF2.0|PR.PS-04, CSF2.0|RS.AN-03, CSF2.0|RS.AN-06, CSF2.0|RS.AN-07, GDPR|32.1.b, HIPAA|164.306(a)(1), HIPAA|164.312(b), ISO-27001-2022|A.8.15, ITSG-33|AU-2, ITSG-33|AU-7, ITSG-33|AU-12, LEVEL|1M, NESA|M1.2.2, NESA|M5.5.1, NIAv2|AM7, NIAv2|AM11a, NIAv2|AM11b, NIAv2|AM11c, NIAv2|AM11d, NIAv2|AM11e, NIAv2|SS30, NIAv2|VL8, PCI-DSSv3.2.1|10.1, QCSC-v1|3.2, QCSC-v1|6.2, QCSC-v1|8.2.1, QCSC-v1|10.2.1, QCSC-v1|11.2, QCSC-v1|13.2, SWIFT-CSCv1|6.4</t>
  </si>
  <si>
    <t>5.1.1.3 Ensure journald is configured to send logs to rsyslog</t>
  </si>
  <si>
    <t>'All of the following must pass to satisfy this requirement:
-------------------------
FAILED - /etc/systemd/journald.conf
The following file(s) do not contain "^[\s]*ForwardToSyslog[\s]*=": 
      /etc/systemd/journald.conf
-------------------------
PASSED - systemd-journald.service
The command '/bin/systemctl list-units --type service | grep -P -- '(journald|rsyslog)'' returned : 
rsyslog.service                    loaded active running System Logging Service
  systemd-journald.service           loaded active running Journal Service
-------------------------
PASSED - rsyslog.service
The command '/bin/systemctl list-units --type service | grep -P -- '(journald|rsyslog)'' returned : 
rsyslog.service                    loaded active running System Logging Service
  systemd-journald.service           loaded active running Journal Service</t>
  </si>
  <si>
    <t>Data from systemd-journald may be stored in volatile memory or persisted locally on the server. Utilities exist to accept remote export of systemd-journald logs, however, use of the rsyslog service provides a consistent means of log collection and export.
-IF- rsyslog is the preferred method for capturing logs, all logs of the system should be sent to it for further processing.
Note: This recommendation only applies if rsyslog is the chosen method for client side logging. Do not apply this recommendation if systemd-journald is used.</t>
  </si>
  <si>
    <t>Create or edit the file /etc/systemd/journald.conf and add or edit the following line:
ForwardToSyslog=yes
Reload the systemd-journald service:
# systemctl systemctl reload-or-try-restart systemd-journald.service</t>
  </si>
  <si>
    <t>800-171|3.3.1, 800-171|3.3.2, 800-171|3.3.5, 800-171|3.3.6, 800-171r3|03.03.01, 800-171r3|03.03.03, 800-171r3|03.03.05c., 800-171r3|03.03.06a., 800-53|AU-2, 800-53|AU-6(3), 800-53|AU-7, 800-53|AU-12, 800-53r5|AU-2, 800-53r5|AU-6(3), 800-53r5|AU-7, 800-53r5|AU-12, CN-L3|7.1.2.3(c), CN-L3|7.1.3.3(d), CN-L3|8.1.4.3(a), CSCv7|6.2, CSCv7|6.3, CSCv7|6.5, CSCv8|8.2, CSCv8|8.9, CSF|DE.AE-2, CSF|DE.AE-3, CSF|DE.CM-1, CSF|DE.CM-3, CSF|DE.CM-7, CSF|DE.DP-4, CSF|PR.PT-1, CSF|RS.AN-1, CSF|RS.AN-3, CSF|RS.CO-2, CSF2.0|DE.AE-02, CSF2.0|DE.AE-03, CSF2.0|DE.CM-01, CSF2.0|DE.CM-03, CSF2.0|DE.CM-09, CSF2.0|PR.PS-04, CSF2.0|RS.AN-03, CSF2.0|RS.AN-06, CSF2.0|RS.AN-07, GDPR|32.1.b, HIPAA|164.306(a)(1), HIPAA|164.312(b), ISO-27001-2022|A.5.25, ISO-27001-2022|A.6.8, ISO-27001-2022|A.8.15, ITSG-33|AU-2, ITSG-33|AU-6(3), ITSG-33|AU-7, ITSG-33|AU-12, LEVEL|1M, NESA|M1.2.2, NESA|M5.2.5, NESA|M5.5.1, NIAv2|AM7, NIAv2|AM11a, NIAv2|AM11b, NIAv2|AM11c, NIAv2|AM11d, NIAv2|AM11e, NIAv2|SS30, NIAv2|VL8, PCI-DSSv3.2.1|10.1, QCSC-v1|3.2, QCSC-v1|5.2.3, QCSC-v1|6.2, QCSC-v1|8.2.1, QCSC-v1|10.2.1, QCSC-v1|11.2, QCSC-v1|13.2, SWIFT-CSCv1|6.4</t>
  </si>
  <si>
    <t>4.5.2.4 Ensure root password is set</t>
  </si>
  <si>
    <t>The command '/bin/grep -Eq '^root:\$(y|[0-9]|g)' /etc/shadow &amp;&amp; echo 'root password is set' || echo 'root password is not set'' returned : 
/bin/grep: Trailing backslash
root password is not set</t>
  </si>
  <si>
    <t>cmd: /bin/grep -Eq '^root:\$(y|[0-9]|g)' /etc/shadow &amp;&amp; echo 'root password is set' || echo 'root password is not set'
expect: ^root password is set$</t>
  </si>
  <si>
    <t>There are a number of methods to access the root account directly. Without a password set any user would be able to gain access and thus control over the entire system.
Access to root should be secured at all times.</t>
  </si>
  <si>
    <t>Set the root password with:
# passwd root
Impact:
If there are any automated processes that relies on access to the root account without authentication, they will fail after remediation.</t>
  </si>
  <si>
    <t>4.5.2.3 Ensure system accounts are secured</t>
  </si>
  <si>
    <t>'All of the following must pass to satisfy this requirement:
-------------------------
FAILED - nologin
Executing the command 'awk -F: '$1!="root" &amp;&amp; $1!="sync" &amp;&amp; $1!="shutdown" &amp;&amp; $1!="halt" &amp;&amp; $1!~/^\+/ &amp;&amp; $3&lt;'"$(awk '/^\s*UID_MIN/{print $2}' /etc/login.defs)"' &amp;&amp; $7!="/usr/sbin/nologin" &amp;&amp; $7!="/sbin/nologin" &amp;&amp; $7!="/bin/false" &amp;&amp; $7!="/usr/bin/false" {print}' /etc/passwd | awk '{print} END {if (NR == 0) print "pass" ; else print "fail"}'' failed :
ERROR: Command did not complete due to timeout or other error.
-------------------------
FAILED - Disabled accounts
Executing the command 'awk -F: '$1!="root" &amp;&amp; $1!~/^\+/ &amp;&amp; $3&lt;'"$(awk '/^\s*UID_MIN/{print $2}' /etc/login.defs)"' {print $1}' /etc/passwd | xargs -I '{}' passwd -S '{}' | awk '$2!="L" &amp;&amp; $2!="LK" {print $1}' | awk '{print} END {if (NR == 0) print "pass" ; else print "fail"}'' failed :
ERROR: Command did not complete due to timeout or other error.</t>
  </si>
  <si>
    <t>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</si>
  <si>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System accounts
Set the shell for any accounts returned by the audit to nologin :
# usermod -s $(command -v nologin) &lt;user&gt;
Disabled accounts
Lock any non root accounts returned by the audit:
# usermod -L &lt;user&gt;
Large scale changes
The following command will set all system accounts to nologin :
# awk -F: '($1!~/^(root|halt|sync|shutdown|nfsnobody)$/ &amp;&amp; ($3&lt;'"$(awk '/^s*UID_MIN/{print $2}' /etc/login.defs)"' || $3 == 65534)) { print $1 }' /etc/passwd | while read user; do usermod -s $(command -v nologin) $user &gt;/dev/null; done
The following command will automatically lock all accounts that have their shell set to nologin :
# awk -F: '/nologin/ {print $1}' /etc/passwd | while read user; do usermod -L $user; done</t>
  </si>
  <si>
    <t>4.5.2.2 Ensure root user umask is configured</t>
  </si>
  <si>
    <t>No files found: /root/.bash_profile /root/.bashrc</t>
  </si>
  <si>
    <t>expect: (?i)^\h*umask\h+(([0-7][0-7][01][0-7]\b|[0-7][0-7][0-7][0-6]\b)|([0-7][01][0-7]\b|[0-7][0-7][0-6]\b)|(u=[rwx]{1,3},)?(((g=[rx]?[rx]?w[rx]?[rx]?\b)(,o=[rwx]{1,3})?)|((g=[wrx]{1,3},)?o=[wrx]{1,3}\b)))
file: /root/.bash_profile /root/.bashrc
regex: (?i)^\h*umask\h+(([0-7][0-7][01][0-7]\b|[0-7][0-7][0-7][0-6]\b)|([0-7][01][0-7]\b|[0-7][0-7][0-6]\b)|(u=[rwx]{1,3},)?(((g=[rx]?[rx]?w[rx]?[rx]?\b)(,o=[rwx]{1,3})?)|((g=[wrx]{1,3},)?o=[wrx]{1,3}\b)))</t>
  </si>
  <si>
    <t>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 /root/.bash_profile
 - /root/.bashrc
 - The system default umask
Setting a secure value for umask ensures that users make a conscious choice about their file permissions. A permissive umask value could result in directories or files with excessive permissions that can be read and/or written to by unauthorized users.</t>
  </si>
  <si>
    <t>Edit /root/.bash_profile and /root/.bashrc and remove, comment out, or update any line with umask to be 0027 or more restrictive.</t>
  </si>
  <si>
    <t>4.5.1.4 Ensure inactive password lock is 30 days or less</t>
  </si>
  <si>
    <t>'All of the following must pass to satisfy this requirement:
-------------------------
FAILED - useradd
The command '/sbin/useradd -D | /bin/grep 'INACTIVE'' returned : 
INACTIVE=-1
-------------------------
FAILED - shadow inactive password lock
File permission denied: /etc/shadow</t>
  </si>
  <si>
    <t>User accounts that have been inactive for over a given period of time can be automatically disabled. It is recommended that accounts that are inactive for 30 days after password expiration be disabled.
Inactive accounts pose a threat to system security since the users are not logging in to notice failed login attempts or other anomalies.</t>
  </si>
  <si>
    <t>Run the following command to set the default password inactivity period to 30 days:
# useradd -D -f 30
Modify user parameters for all users with a password set to match:
# chage --inactive 30 &lt;user&gt;</t>
  </si>
  <si>
    <t>800-171|3.5.2, 800-171r3|03.05.07, 800-53|IA-5(1), 800-53r5|IA-5(1), CSCv7|4.4, CSCv8|5.2, CSF|PR.AC-1, CSF2.0|PR.AA-01, CSF2.0|PR.AA-03, GDPR|32.1.b, HIPAA|164.306(a)(1), HIPAA|164.312(a)(2)(i), HIPAA|164.312(d), ISO-27001-2022|A.5.16, ISO-27001-2022|A.5.17, ITSG-33|IA-5(1), LEVEL|1A, NESA|T5.2.3, QCSC-v1|5.2.2, QCSC-v1|13.2, SWIFT-CSCv1|4.1</t>
  </si>
  <si>
    <t>4.5.1.3 Ensure password expiration warning days is 7 or more</t>
  </si>
  <si>
    <t>All of the following must pass to satisfy this requirement:
-------------------------
PASSED - login.defs
Compliant file(s):
      /etc/login.defs - regex '(?i)^[\s]*PASS_WARN_AGE[\s]+' found - expect '(?i)^[\s]*PASS_WARN_AGE[\s]+7[\s]*$' found in the following lines:
          28: PASS_WARN_AGE	7
-------------------------
FAILED - shadow password warn age
File permission denied: /etc/shadow</t>
  </si>
  <si>
    <t>The PASS_WARN_AGE parameter in /etc/login.defs allows an administrator to notify users that their password will expire in a defined number of days. It is recommended that the PASS_WARN_AGE parameter be set to 7 or more days.
Providing an advance warning that a password will be expiring gives users time to think of a secure password. Users caught unaware may choose a simple password or write it down where it may be discovered.</t>
  </si>
  <si>
    <t>Set the PASS_WARN_AGE parameter to 7 in /etc/login.defs :
PASS_WARN_AGE 7
Modify user parameters for all users with a password set to match:
# chage --warndays 7 &lt;user&gt;</t>
  </si>
  <si>
    <t>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CSCv7|4.4,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t>
  </si>
  <si>
    <t>4.5.1.2 Ensure password expiration is 365 days or less</t>
  </si>
  <si>
    <t>All of the following must pass to satisfy this requirement:
-------------------------
FAILED - shadow password max days
File permission denied: /etc/shadow
-------------------------
PASSED - login.defs
Compliant file(s):
      /etc/login.defs - regex '(?i)^[\s]*PASS_MAX_DAYS[\s]' found - expect '(?i)^[\s]*PASS_MAX_DAYS[\s]+365[\s]*$' found in the following lines:
          25: PASS_MAX_DAYS 365</t>
  </si>
  <si>
    <t>The PASS_MAX_DAYS parameter in /etc/login.defs allows an administrator to force passwords to expire once they reach a defined age. It is recommended that the PASS_MAX_DAYS parameter be set to less than or equal to 365 days.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t>
  </si>
  <si>
    <t>Set the PASS_MAX_DAYS parameter to conform to site policy in /etc/login.defs :
PASS_MAX_DAYS 365
Modify user parameters for all users with a password set to match:
# chage --maxdays 365 &lt;user&gt;
Impact:
The password expiration must be greater than the minimum days between password changes or users will be unable to change their password</t>
  </si>
  <si>
    <t>4.4.2.4.4 Ensure pam_unix includes use_authtok</t>
  </si>
  <si>
    <t>All of the following must pass to satisfy this requirement:
-------------------------
FAILED - Ensure at least one file named /etc/pam.d/system-auth exists and matches pattern
File permission denied: /etc/pam.d/system-auth
-------------------------
FAILED - Ensure at least one file named /etc/pam.d/password-auth exists and matches pattern
File permission denied: /etc/pam.d/password-auth</t>
  </si>
  <si>
    <t>use_authtok - When password changing enforce the module to set the new password to the one provided by a previously stacked password module
use_authtok allows multiple pam modules to confirm a new password before it is accepted.</t>
  </si>
  <si>
    <t>Edit the files /etc/pam.d/system-auth and /etc/pam.d/password-auth:
Edit the following line and add the use_authtok argument:
password sufficient pam_unix.so sha512 shadow try_first_pass use_authtok</t>
  </si>
  <si>
    <t>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t>
  </si>
  <si>
    <t>4.4.2.4.3 Ensure pam_unix includes a strong password hashing algorithm</t>
  </si>
  <si>
    <t>A cryptographic hash function converts an arbitrary-length input into a fixed length output. Password hashing performs a one-way transformation of a password, turning the password into another string, called the hashed password.
The SHA-512 algorithm provides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</si>
  <si>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Note: This only effects local users and passwords created after updating the files to use sha512 If it is determined that the password algorithm being used is not sha512 once it is changed, it is recommended that all user ID's be immediately expired and forced to change their passwords on next login.
Edit the files /etc/pam.d/system-auth and /etc/pam.d/password-auth:
Edit the following lines and:
 - Add the sha512 argument
 - Remove all md5 bigcrypt sha256 and blowfish arguments
auth sufficient pam_unix.so try_first_pass
account required pam_unix.so
password sufficient pam_unix.so sha512 shadow try_first_pass use_authtok
session required pam_unix.so</t>
  </si>
  <si>
    <t>4.4.2.4.2 Ensure pam_unix does not include remember</t>
  </si>
  <si>
    <t>All of the following must pass to satisfy this requirement:
-------------------------
FAILED - Ensure no file named /etc/pam.d/password-auth pam_unix.so contains remember
File permission denied: /etc/pam.d/password-auth
-------------------------
FAILED - Ensure no file named /etc/pam.d/system-auth pam_unix.so contains remember
File permission denied: /etc/pam.d/system-auth</t>
  </si>
  <si>
    <t>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sha512 hash algorithm to be used.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t>
  </si>
  <si>
    <t>Edit the files /etc/pam.d/system-auth and /etc/pam.d/password-auth:
Edit the following lines and remove the remember= option:
auth sufficient pam_unix.so try_first_pass
account required pam_unix.so
password sufficient pam_unix.so sha512 shadow try_first_pass use_authtok
session required pam_unix.so</t>
  </si>
  <si>
    <t>4.4.2.4.1 Ensure pam_unix does not include nullok</t>
  </si>
  <si>
    <t>All of the following must pass to satisfy this requirement:
-------------------------
FAILED - Ensure no file named /etc/pam.d/password-auth exists and matches pattern
File permission denied: /etc/pam.d/password-auth
-------------------------
FAILED - Ensure no file named /etc/pam.d/system-auth exists and matches pattern
File permission denied: /etc/pam.d/system-auth</t>
  </si>
  <si>
    <t>The nullok argument overrides the default action of pam_unix.so to not permit the user access to a service if their official password is blank.
Using a strong password is essential to helping protect personal and sensitive information from unauthorized access</t>
  </si>
  <si>
    <t>Edit the files /etc/pam.d/system-auth and /etc/pam.d/password-auth:
Edit the following lines and remove the nullok option:
auth sufficient pam_unix.so try_first_pass
account required pam_unix.so
password sufficient pam_unix.so sha512 shadow try_first_pass use_authtok
session required pam_unix.so</t>
  </si>
  <si>
    <t>4.4.2.3.4 Ensure pam_pwhistory includes use_authtok</t>
  </si>
  <si>
    <t>All of the following must pass to satisfy this requirement:
-------------------------
FAILED - Ensure at least one file named /etc/pam.d/system-auth exists and matches password pattern
File permission denied: /etc/pam.d/system-auth
-------------------------
FAILED - Ensure at least one file named /etc/pam.d/password-auth exists and matches password pattern
File permission denied: /etc/pam.d/password-auth</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</si>
  <si>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</si>
  <si>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4.4.2.3.3 Ensure password history is enforced for the root user</t>
  </si>
  <si>
    <t>All of the following must pass to satisfy this requirement:
-------------------------
FAILED - password-auth
File permission denied: /etc/pam.d/password-auth
-------------------------
FAILED - system-auth
File permission denied: /etc/pam.d/system-auth</t>
  </si>
  <si>
    <t>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t>
  </si>
  <si>
    <t>4.4.2.3.2 Ensure password history remember is configured</t>
  </si>
  <si>
    <t>All of the following must pass to satisfy this requirement:
-------------------------
FAILED - system-auth
File permission denied: /etc/pam.d/system-auth
-------------------------
FAILED - password-auth
File permission denied: /etc/pam.d/password-auth</t>
  </si>
  <si>
    <t>The /etc/security/opasswd file stores the users' old passwords and can be checked to ensure that users are not recycling recent passwords.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</si>
  <si>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</si>
  <si>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4.4.2.3.1 Ensure pam_pwhistory module is enabled</t>
  </si>
  <si>
    <t>All of the following must pass to satisfy this requirement:
-------------------------
FAILED - Ensure at least one file named /etc/pam.d/password-auth exists and matches pattern (?i)^h*passwordh+(requisite|required)h+pam_pwhistory.so.
File permission denied: /etc/pam.d/password-auth
-------------------------
FAILED - Ensure at least one file named /etc/pam.d/system-auth exists and matches pattern (?i)^h*passwordh+(requisite|required)h+pam_pwhistory.so.
File permission denied: /etc/pam.d/system-auth</t>
  </si>
  <si>
    <t>The pam_history.so module saves the last passwords for each user in order to force password change history and keep the user from alternating between the same password too frequently.
Requiring users not to reuse their passwords make it less likely that an attacker will be able to guess the password or use a compromised password.</t>
  </si>
  <si>
    <t>4.4.2.2.7 Ensure password dictionary check is enabled</t>
  </si>
  <si>
    <t>'All of the following must pass to satisfy this requirement:
-------------------------
PASSED - /etc/security/pwquality.conf
The following file(s) do not contain "(?i)^\h*dictcheck\h*=\h*0\b": 
      /etc/security/pwquality.conf
-------------------------
FAILED - Verify that the dictcheck option is not set to 0 (disabled) as a module argument in a PAM file
File permission denied: /etc/pam.d/password-auth</t>
  </si>
  <si>
    <t>The pwquality dictcheck option sets whether to check for the words from the cracklib dictionary.
If the operating system allows the user to select passwords based on dictionary words, this increases the chances of password compromise by increasing the opportunity for successful guesses, and brute-force attacks.</t>
  </si>
  <si>
    <t>Edit /etc/security/pwquality.conf and comment out or remove any instance of dictcheck = 0 :
Example:
# sed -ri 's/^s*dictchecks*=/# &amp;/' /etc/security/pwquality.conf
Run the following script to remove setting dictcheck on the pam_pwquality.so module in the PAM files:
#!/usr/bin/env bash
{
   for l_pam_file in system-auth password-auth; do
     sed -ri 's/(^s*passwords+(requisite|required|sufficient)s+pam_pwquality.so.*)(s+dictchecks*=s*S+)(.*$)/14/' /etc/pam.d/"$l_pam_file"
   done
}</t>
  </si>
  <si>
    <t>4.4.2.2.6 Ensure password maximum sequential characters is configured</t>
  </si>
  <si>
    <t>'All of the following must pass to satisfy this requirement:
-------------------------
PASSED - /etc/security/pwquality.conf
Compliant file(s):
      /etc/security/pwquality.conf - regex '(?i)^\h*maxsequence\h*=' found - expect '(?i)^\h*maxsequence\h*=\h*[1-3]\b' found in the following lines:
          54: maxsequence = 3
-------------------------
FAILED - pam.d
File permission denied: /etc/pam.d/password-auth</t>
  </si>
  <si>
    <t>The pwquality maxsequence option sets the maximum length of monotonic character sequences in the new password. Examples of such sequence are 12345 or fedcb The check is disabled if the value is 0
Note: Most such passwords will not pass the simplicity check unless the sequence is only a minor part of the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</si>
  <si>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Edit /etc/security/pwquality.conf and add or modify the following line to set maxsequence to 3 or less and not 0 Ensure setting conforms to local site policy:
maxsequence = 3
Run the following script to remove setting maxsequence on the pam_pwquality.so module in the PAM files:
#!/usr/bin/env bash
{
   for l_pam_file in system-auth password-auth; do
     sed -ri 's/(^s*passwords+(requisite|required|sufficient)s+pam_pwquality.so.*)(s+maxsequences*=s*S+)(.*$)/14/' /etc/pam.d/"$l_pam_file"
   done
}</t>
  </si>
  <si>
    <t>4.4.2.2.5 Ensure password same consecutive characters is configured</t>
  </si>
  <si>
    <t>'All of the following must pass to satisfy this requirement:
-------------------------
FAILED - pam.d
File permission denied: /etc/pam.d/password-auth
-------------------------
PASSED - /etc/security/pwquality.conf
Compliant file(s):
      /etc/security/pwquality.conf - regex '(?i)^\h*maxrepeat\h*=' found - expect '(?i)^\h*maxrepeat\h*=\h*[1-3]\b' found in the following lines:
          53: maxrepeat = 3</t>
  </si>
  <si>
    <t>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</si>
  <si>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Edit /etc/security/pwquality.conf and add or modify the following line to set maxrepeat to 3 or less and not 0 Ensure setting conforms to local site policy:
maxrepeat = 3
Run the following script to remove setting maxrepeat on the pam_pwquality.so module in the PAM files:
#!/usr/bin/env bash
{
   for l_pam_file in system-auth password-auth; do
     sed -ri 's/(^s*passwords+(requisite|required|sufficient)s+pam_pwquality.so.*)(s+maxrepeats*=s*S+)(.*$)/14/' /etc/pam.d/"$l_pam_file"
   done
}</t>
  </si>
  <si>
    <t>4.4.2.2.4 Ensure password complexity is configured</t>
  </si>
  <si>
    <t>'All of the following must pass to satisfy this requirement:
-------------------------
FAILED - lcredit
The following file(s) do not contain "^[\s]*lcredit[\s]*=": 
      /etc/security/pwquality.conf
-------------------------
FAILED - ucredit
The following file(s) do not contain "^[\s]*ucredit[\s]*=": 
      /etc/security/pwquality.conf
-------------------------
FAILED - dcredit
The following file(s) do not contain "^[\s]*dcredit[\s]*=": 
      /etc/security/pwquality.conf
-------------------------
FAILED - ocredit
The following file(s) do not contain "^[\s]*ocredit[\s]*=": 
      /etc/security/pwquality.conf</t>
  </si>
  <si>
    <t>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t>
  </si>
  <si>
    <t>Edit /etc/security/pwquality.conf and add or modify the following line to set:
minclass = 4
--AND/OR--
dcredit = -_N&gt;
ucredit = &lt;N&gt;
ocredit = &lt;N&gt;
lcredit = &lt;N&gt;
Example:
# printf '
%s' "minclass = 4" &gt;&gt; /etc/security/pwquality.conf
--AND/OR--
# printf '%s
' "dcredit = -1" "ucredit = -1" "ocredit = -1" "lcredit = -1" &gt;&gt; /etc/security/pwquality.conf
Run the following script to remove setting minclass dcredit ucredit lcredit and ocredit on the pam_pwquality.so module in the PAM files
#!/usr/bin/env bash
{
   for l_pam_file in system-auth password-auth; do
     sed -ri 's/(^s*passwords+(requisite|required|sufficient)s+pam_pwquality.so.*)(s+minclasss*=s*S+)(.*$)/14/' /etc/pam.d/"$l_pam_file"
     sed -ri 's/(^s*passwords+(requisite|required|sufficient)s+pam_pwquality.so.*)(s+dcredits*=s*S+)(.*$)/14/' /etc/pam.d/"$l_pam_file"
     sed -ri 's/(^s*passwords+(requisite|required|sufficient)s+pam_pwquality.so.*)(s+ucredits*=s*S+)(.*$)/14/' /etc/pam.d/"$l_pam_file"
     sed -ri 's/(^s*passwords+(requisite|required|sufficient)s+pam_pwquality.so.*)(s+lcredits*=s*S+)(.*$)/14/' /etc/pam.d/"$l_pam_file"
     sed -ri 's/(^s*passwords+(requisite|required|sufficient)s+pam_pwquality.so.*)(s+ocredits*=s*S+)(.*$)/14/' /etc/pam.d/"$l_pam_file"
   done
}</t>
  </si>
  <si>
    <t>800-171|3.5.2, 800-171r3|03.05.07, 800-53|IA-5(1), 800-53r5|IA-5(1), CSCv7|4.4, CSCv8|5.2, CSF|PR.AC-1, CSF2.0|PR.AA-01, CSF2.0|PR.AA-03, GDPR|32.1.b, HIPAA|164.306(a)(1), HIPAA|164.312(a)(2)(i), HIPAA|164.312(d), ISO-27001-2022|A.5.16, ISO-27001-2022|A.5.17, ITSG-33|IA-5(1), LEVEL|1M, NESA|T5.2.3, QCSC-v1|5.2.2, QCSC-v1|13.2, SWIFT-CSCv1|4.1</t>
  </si>
  <si>
    <t>4.4.2.2.3 Ensure password length is configured</t>
  </si>
  <si>
    <t>'All of the following must pass to satisfy this requirement:
-------------------------
FAILED - pam.d
File permission denied: /etc/pam.d/password-auth
-------------------------
PASSED - /etc/security/pwquality.conf
Compliant file(s):
      /etc/security/pwquality.conf - regex '(?i)^\h*minlen\h*=' found - expect '(?i)^\h*minlen\h*=\h*(1[4-9]|[2-9][0-9]|[1-9][0-9]{2,})\b' found in the following lines:
          52: minlen = 14</t>
  </si>
  <si>
    <t>minlen - Minimum acceptable size for the new password (plus one if credits are not disabled which is the default). Cannot be set to lower value than 6.
Strong passwords protect systems from being hacked through brute force methods.</t>
  </si>
  <si>
    <t>Edit the file /etc/security/pwquality.conf and add or modify the following line to set password length of 14 or more characters. Ensure that password length conforms to local site policy:
minlen = 14
Run the following script to remove setting minlen on the pam_pwquality.so module in the PAM files:
#!/usr/bin/env bash
{
   for l_pam_file in system-auth password-auth; do
     sed -ri 's/(^s*passwords+(requisite|required|sufficient)s+pam_pwquality.so.*)(s+minlens*=s*[0-9]+)(.*$)/14/' /etc/pam.d/"$l_pam_file"
   done
}</t>
  </si>
  <si>
    <t>4.4.2.2.2 Ensure password number of changed characters is configured</t>
  </si>
  <si>
    <t>'All of the following must pass to satisfy this requirement:
-------------------------
FAILED - pam.d
File permission denied: /etc/pam.d/password-auth
-------------------------
PASSED - /etc/security/pwquality.conf
Compliant file(s):
      /etc/security/pwquality.conf - regex '(?i)^\h*difok\h*=' found - expect '(?i)^\h*difok\h*=\h*([2-9]|[1-9][0-9]+)\b' found in the following lines:
          51: difok = 2</t>
  </si>
  <si>
    <t>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</si>
  <si>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Edit or add the following line in /etc/security/pwquality.conf to a value of 2 or more and meets local site policy:
difok = 2
Example:
# sed -ri 's/^s*difoks*=/# &amp;/' /etc/security/pwquality.conf
# printf '
%s' "difok = 2" &gt;&gt; /etc/security/pwquality.conf
Run the following script to remove setting difok on the pam_pwquality.so module in the PAM files:
#!/usr/bin/env bash
{
   for l_pam_file in system-auth password-auth; do
     sed -ri 's/(^s*passwords+(requisite|required|sufficient)s+pam_pwquality.so.*)(s+difoks*=s*S+)(.*$)/14/' /etc/pam.d/"$l_pam_file"
   done
}</t>
  </si>
  <si>
    <t>4.4.2.2.1 Ensure pam_pwquality module is enabled</t>
  </si>
  <si>
    <t>All of the following must pass to satisfy this requirement:
-------------------------
FAILED - Ensure at least one file named /etc/pam.d/system-auth exists and matches pattern ^h*authh+(required|requisite)h+([^#
File permission denied: /etc/pam.d/system-auth
-------------------------
FAILED - Ensure at least one file named /etc/pam.d/password-auth exists and matches pattern (?i)^h*passwordh+(requisite|required)h+pam_pwquality.so.
File permission denied: /etc/pam.d/password-auth</t>
  </si>
  <si>
    <t>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t>
  </si>
  <si>
    <t>Edit the files /etc/pam.d/system-auth and /etc/pam.d/password-auth:
Add the following line to the password section:
password requisite pam_pwquality.so try_first_pass local_users_only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</si>
  <si>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4.4.2.1.3 Ensure password unlock time is configured</t>
  </si>
  <si>
    <t>All of the following must pass to satisfy this requirement:
-------------------------
FAILED - password-auth authfail unlock_time
File permission denied: /etc/pam.d/password-auth
-------------------------
FAILED - password-auth preauth unlock_time
File permission denied: /etc/pam.d/password-auth
-------------------------
FAILED - system-auth authfail unlock_time
File permission denied: /etc/pam.d/system-auth
-------------------------
FAILED - system-auth preauth unlock_time
File permission denied: /etc/pam.d/system-auth</t>
  </si>
  <si>
    <t>unlock_time=&lt;n&gt; - The access will be re-enabled after
seconds after the lock out. The value 0 has the same meaning as value never - the access will not be re-enabled without resetting the faillock entries by the faillock(8) command.
Note: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Locking out user IDs after
n
unsuccessful consecutive login attempts mitigates brute force password attacks against your systems.</t>
  </si>
  <si>
    <t>Edit the files /etc/pam.d/system-auth and /etc/pam.d/password-auth :
Edit the files /etc/pam.d/system-auth and /etc/pam.d/password-auth :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Impact:
Use of unlock_time=0 may allow an attacker to cause denial of service to legitimate users. This will also require a systems administrator with elevated privileges to unlock the account.</t>
  </si>
  <si>
    <t>800-171|3.1.1, 800-171r3|03.01.01, 800-171r3|03.15.01, 800-53|AC-1, 800-53|AC-2, 800-53|AC-2(1), 800-53r5|AC-1, 800-53r5|AC-2, 800-53r5|AC-2(1), CN-L3|7.1.3.2(d), CN-L3|8.1.4.2(e), CN-L3|8.1.10.6(c), CSCv7|16.7, CSCv8|6.2, CSF|DE.CM-1, CSF|DE.CM-3, CSF|ID.GV-1, CSF|ID.GV-3, CSF|PR.AC-1, CSF|PR.AC-4, CSF2.0|DE.CM-01, CSF2.0|DE.CM-03, CSF2.0|GV.OC-03, CSF2.0|GV.OV-01, CSF2.0|GV.PO-01, CSF2.0|GV.PO-02, CSF2.0|GV.SC-03, CSF2.0|ID.IM-01, CSF2.0|ID.IM-02, CSF2.0|ID.IM-03, CSF2.0|PR.AA-01, CSF2.0|PR.AA-05, CSF2.0|PR.DS-10, GDPR|32.1.b, HIPAA|164.306(a)(1), HIPAA|164.312(a)(1), ISO-27001-2022|A.5.1, ISO-27001-2022|A.5.2, ISO-27001-2022|A.5.4, ISO-27001-2022|A.5.15, ISO-27001-2022|A.5.16, ISO-27001-2022|A.5.18, ISO-27001-2022|A.5.31, ISO-27001-2022|A.5.36, ISO-27001-2022|A.5.37, ISO-27001-2022|A.8.2, ISO-27001-2022|5.2, ISO-27001-2022|5.3, ISO-27001-2022|7.5.1, ISO-27001-2022|7.5.2, ISO-27001-2022|7.5.3, ISO/IEC-27001|A.9.1.1, ISO/IEC-27001|A.9.2.1, ITSG-33|AC-1, ITSG-33|AC-2, ITSG-33|AC-2(1), LEVEL|1A, NESA|M1.2.2, NIAv2|AM28, NIAv2|AM29, NIAv2|AM30, NIAv2|NS5j, NIAv2|SS14e, QCSC-v1|3.2, QCSC-v1|5.2.2, QCSC-v1|8.2.1, QCSC-v1|13.2, QCSC-v1|15.2</t>
  </si>
  <si>
    <t>4.4.2.1.2 Ensure password failed attempts lockout is configured</t>
  </si>
  <si>
    <t>All of the following must pass to satisfy this requirement:
-------------------------
FAILED - system-auth preauth deny
File permission denied: /etc/pam.d/system-auth
-------------------------
FAILED - system-auth authfail deny
File permission denied: /etc/pam.d/system-auth
-------------------------
FAILED - password-auth preauth deny
File permission denied: /etc/pam.d/password-auth
-------------------------
FAILED - password-auth authfail deny
File permission denied: /etc/pam.d/password-auth</t>
  </si>
  <si>
    <t>The deny=&lt;n&gt; option will deny access if the number of consecutive authentication failures for this user during the recent interval exceeds
.
Locking out user IDs after
n
unsuccessful consecutive login attempts mitigates brute force password attacks against your systems.</t>
  </si>
  <si>
    <t>Edit the files /etc/pam.d/system-auth and /etc/pam.d/password-auth :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t>
  </si>
  <si>
    <t>4.4.2.1.1 Ensure pam_faillock module is enabled</t>
  </si>
  <si>
    <t>All of the following must pass to satisfy this requirement:
-------------------------
FAILED - system-auth pam_faillock
File permission denied: /etc/pam.d/system-auth
-------------------------
FAILED - system-auth authfail
File permission denied: /etc/pam.d/system-auth
-------------------------
FAILED - password-auth preauth
File permission denied: /etc/pam.d/password-auth
-------------------------
FAILED - password-auth authfail
File permission denied: /etc/pam.d/password-auth
-------------------------
FAILED - password-auth pam_faillock
File permission denied: /etc/pam.d/password-auth
-------------------------
FAILED - system-auth preauth
File permission denied: /etc/pam.d/system-auth</t>
  </si>
  <si>
    <t>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t>
  </si>
  <si>
    <t>Edit the files /etc/pam.d/system-auth and /etc/pam.d/password-auth :
Add the following lines to the auth section:
auth required pam_faillock.so preauth silent audit deny=5 unlock_time=900 even_deny_root
auth [default=die] pam_faillock.so authfail audit deny=5 unlock_time=900 even_deny_root
The auth sections should look similar to the following example: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Add the following line to the account section:
account required pam_faillock.so
Example:
account required pam_faillock.so
account required pam_unix.so
account sufficient pam_localuser.so
account sufficient pam_pam_succeed_if.so uid &lt; 1000 quiet
account required pam_permit.so</t>
  </si>
  <si>
    <t>800-171|3.1.8, HIPAA|164.306(a)(1), 800-53r5|AC-7a., NESA|T5.5.1, PCI-DSSv3.2.1|8.1.6, ITSG-33|AC-7a., 800-171r3|03.01.08a., TBA-FIISB|45.1.2, GDPR|32.1.b, CN-L3|8.1.4.1(b), PCI-DSSv4.0|8.3.4, ISO-27001-2022|A.8.5, 800-53|AC-7a., TBA-FIISB|45.2.2, TBA-FIISB|45.2.1, NIAv2|AM24, CSF2.0|PR.AA-03</t>
  </si>
  <si>
    <t>4.3.2 Ensure sudo commands use pty</t>
  </si>
  <si>
    <t>'The command '/bin/grep -rPi '^\h*Defaults\h+([^#\n\r]+,)?use_pty(,\h*\h+\h*)*\h*(#.*)?$' /etc/sudoers* | /bin/awk '{print} END {if (NR != 0) print "pass" ; else print "fail"}'' returned : 
/bin/grep: /etc/sudoers: Permission denied
/bin/grep: /etc/sudoers.d: Permission denied
/bin/grep: /etc/sudoers.d.backup.20251111_125948: Permission denied
fail</t>
  </si>
  <si>
    <t>cmd: /bin/grep -rPi '^\h*Defaults\h+([^#\n\r]+,)?use_pty(,\h*\h+\h*)*\h*(#.*)?$' /etc/sudoers* | /bin/awk '{print} END {if (NR != 0) print "pass" ; else print "fail"}'
expect: ^pass$</t>
  </si>
  <si>
    <t>sudo can be configured to run only from a pseudo terminal ( pseudo-pty ).
Attackers can run a malicious program using sudo which would fork a background process that remains even when the main program has finished executing.</t>
  </si>
  <si>
    <t>Edit the file /etc/sudoers with visudo or a file in /etc/sudoers.d/ with visudo -f &lt;
PATH_TO_FILE
&gt; and add the following line:
Defaults use_pty
Note:
 - sudo will read each file in /etc/sudoers.d skipping file names that end in ~ or contain a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</si>
  <si>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800-171|3.1.5, 800-171|3.1.6, 800-171r3|03.01.06a., 800-171r3|03.01.06b., 800-53|AC-6(2), 800-53|AC-6(5), 800-53r5|AC-6(2), 800-53r5|AC-6(5), CN-L3|7.1.3.2(b), CN-L3|7.1.3.2(g), CN-L3|8.1.4.2(d), CN-L3|8.1.10.6(a), CSCv7|5.1, CSCv8|5.4, CSF|PR.AC-4, CSF2.0|PR.AA-05, GDPR|32.1.b, HIPAA|164.306(a)(1), HIPAA|164.312(a)(1), ISO-27001-2022|A.5.15, ISO-27001-2022|A.8.2, ISO-27001-2022|A.8.18, ISO/IEC-27001|A.9.2.3, ITSG-33|AC-6(2), ITSG-33|AC-6(5), LEVEL|1A, NESA|T5.1.1, NESA|T5.2.2, NESA|T5.6.1, NIAv2|AM1, NIAv2|AM23f, NIAv2|AM32, NIAv2|AM33, NIAv2|SS13c, NIAv2|SS15c, NIAv2|VL3a, PCI-DSSv3.2.1|7.1.2, PCI-DSSv4.0|7.2.1, PCI-DSSv4.0|7.2.2, QCSC-v1|5.2.2, QCSC-v1|6.2, SWIFT-CSCv1|1.2, SWIFT-CSCv1|5.1, TBA-FIISB|31.4.2, TBA-FIISB|31.4.3</t>
  </si>
  <si>
    <t>4.2.7 Ensure sshd ClientAliveInterval and ClientAliveCountMax are configured</t>
  </si>
  <si>
    <t>All of the following must pass to satisfy this requirement:
-------------------------
FAILED - sshd_config
File permission denied: /etc/ssh/sshd_config
-------------------------
FAILED - ClientAliveCountMax is greater than 0
The command script with multiple lines returned : 
/etc/ssh/sshd_config: Permission denied
port 22: 
Fail
-------------------------
FAILED - ClientAliveInterval is greater than 0
The command script with multiple lines returned : 
/etc/ssh/sshd_config: Permission denied
port 22: 
Fail
-------------------------
FAILED - ClientAliveCountMax configuration does not equal 0
File permission denied: /etc/ssh/sshd_config</t>
  </si>
  <si>
    <t>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unresponsive.The default value is 3. If ClientAliveInterval is set to 15, and ClientAliveCountMax is left at the default, unresponsive SSH clients will be disconnected after approximately 45 seconds. Setting a zero ClientAliveCountMax disables connection termination.
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</si>
  <si>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Edit the /etc/ssh/sshd_config file to set the parameters above any Match entries according to site policy.
Example:
ClientAliveInterval 15
ClientAliveCountMax 3
Note: First occurrence of a option takes precedence, Match set statements withstanding.</t>
  </si>
  <si>
    <t>800-171|3.1.11, 800-171r3|03.01.11, 800-53|AC-12, 800-53r5|AC-12, CN-L3|7.1.2.2(d), CN-L3|7.1.3.7(b), CN-L3|8.1.4.1(b), CSF2.0|PR.AA-03, GDPR|32.1.b, HIPAA|164.306(a)(1), HIPAA|164.312(a)(2)(iii), ITSG-33|AC-12, LEVEL|1A, NIAv2|NS49</t>
  </si>
  <si>
    <t>4.2.5 Ensure sshd Banner is configured</t>
  </si>
  <si>
    <t>The command script with multiple lines returned : 
/etc/ssh/sshd_config: Permission denied
port 22: 
Fail</t>
  </si>
  <si>
    <t>cmd: multiple line script
dont_echo_cmd: NO
expect: ^Pass$</t>
  </si>
  <si>
    <t>The Banner parameter specifies a file whose contents must be sent to the remote user before authentication is permitted. By default, no banner is displayed.
Banners are used to warn connecting users of the particular site's policy regarding connection. Presenting a warning message prior to the normal user login may assist the prosecution of trespassers on the computer system.</t>
  </si>
  <si>
    <t>Edit the /etc/ssh/sshd_config file to set the parameter above any Match entries as follows:
Banner /etc/issue.net
Note: First occurrence of a option takes precedence, Match set statements withstanding.</t>
  </si>
  <si>
    <t>800-171|3.1.9, 800-171r3|03.01.09, 800-53|AC-8, 800-53r5|AC-8, GDPR|32.1.b, HIPAA|164.306(a)(1), ISO-27001-2022|A.8.5, ITSG-33|AC-8, LEVEL|1A, NESA|M1.3.6, TBA-FIISB|45.2.4</t>
  </si>
  <si>
    <t>4.2.4 Ensure sshd access is configured</t>
  </si>
  <si>
    <t>There are several options available to limit which users and group can access the system via SSH. It is recommended that at least one of the following options be leveraged:
 - AllowUsers :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 The AllowGroups variable gives the system administrator the option of allowing specific groups of users to ssh into the system. The list consists of space separated group names. Numeric group IDs are not recognized with this variable.
 - DenyUsers :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 The DenyGroups variable gives the system administrator the option of denying specific groups of users to ssh into the system. The list consists of space separated group names. Numeric group IDs are not recognized with this variable.
Restricting which users can remotely access the system via SSH will help ensure that only authorized users access the system.</t>
  </si>
  <si>
    <t>Edit /etc/ssh/sshd_config and set one or more of the parameters above any Match set statements as follows:
AllowUsers &lt;userlist&gt;
-OR-
AllowGroups &lt;grouplist&gt;
-OR-
DenyUsers &lt;userlist&gt;
-OR-
DenyGroups &lt;grouplist&gt;
Note: First occurrence of a option takes precedence, Match set statements withstanding.
Run the following command to reload the openSSH server daemon configuration:
# systemctl reload-or-try-restart sshd.service</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</si>
  <si>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CSCv7|4.3,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</si>
  <si>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4.2.20 Ensure sshd PermitRootLogin is disabled</t>
  </si>
  <si>
    <t>All of the following must pass to satisfy this requirement:
-------------------------
PASSED - sshd permitrootlogin setting
The command script with multiple lines returned : 
/etc/ssh/sshd_config: Permission denied
port 22: 
Pass
-------------------------
FAILED - config file permitrootlogin setting
File permission denied: /etc/ssh/sshd_config</t>
  </si>
  <si>
    <t>The PermitRootLogin parameter specifies if the root user can log in using SSH. The default is prohibit-password
Disallowing root logins over SSH requires system admins to authenticate using their own individual account, then escalating to root This limits opportunity for non-repudiation and provides a clear audit trail in the event of a security incident.</t>
  </si>
  <si>
    <t>Edit the /etc/ssh/sshd_config file to set the PermitRootLogin parameter to no above any Match entries as follows:
PermitRootLogin no
Note: First occurrence of a option takes precedence, Match set statements withstanding.</t>
  </si>
  <si>
    <t>800-171|3.1.5, 800-171|3.1.6, 800-171r3|03.01.06a., 800-171r3|03.01.06b., 800-53|AC-6(2), 800-53|AC-6(5), 800-53r5|AC-6(2), 800-53r5|AC-6(5), CN-L3|7.1.3.2(b), CN-L3|7.1.3.2(g), CN-L3|8.1.4.2(d), CN-L3|8.1.10.6(a), CSCv7|4.3, CSCv8|5.4, CSF|PR.AC-4, CSF2.0|PR.AA-05, GDPR|32.1.b, HIPAA|164.306(a)(1), HIPAA|164.312(a)(1), ISO-27001-2022|A.5.15, ISO-27001-2022|A.8.2, ISO-27001-2022|A.8.18, ISO/IEC-27001|A.9.2.3, ITSG-33|AC-6(2), ITSG-33|AC-6(5), LEVEL|1A, NESA|T5.1.1, NESA|T5.2.2, NESA|T5.6.1, NIAv2|AM1, NIAv2|AM23f, NIAv2|AM32, NIAv2|AM33, NIAv2|SS13c, NIAv2|SS15c, NIAv2|VL3a, PCI-DSSv3.2.1|7.1.2, PCI-DSSv4.0|7.2.1, PCI-DSSv4.0|7.2.2, QCSC-v1|5.2.2, QCSC-v1|6.2, SWIFT-CSCv1|1.2, SWIFT-CSCv1|5.1, TBA-FIISB|31.4.2, TBA-FIISB|31.4.3</t>
  </si>
  <si>
    <t>4.2.19 Ensure sshd PermitEmptyPasswords is disabled</t>
  </si>
  <si>
    <t>All of the following must pass to satisfy this requirement:
-------------------------
FAILED - config file permitemptypasswords setting
File permission denied: /etc/ssh/sshd_config
-------------------------
PASSED - sshd permitemptypasswords setting
The command script with multiple lines returned : 
/etc/ssh/sshd_config: Permission denied
port 22: 
Pass</t>
  </si>
  <si>
    <t>The PermitEmptyPasswords parameter specifies if the SSH server allows login to accounts with empty password strings.
Disallowing remote shell access to accounts that have an empty password reduces the probability of unauthorized access to the system.</t>
  </si>
  <si>
    <t>Edit /etc/ssh/sshd_config and set the PermitEmptyPasswords parameter to no above any Match entries:
PermitEmptyPasswords no
Note: First occurrence of a option takes precedence, Match set statements withstanding.</t>
  </si>
  <si>
    <t>4.2.18 Ensure sshd MaxStartups is configured</t>
  </si>
  <si>
    <t>The MaxStartups parameter specifies the maximum number of concurrent unauthenticated connections to the SSH daemon.
To protect a system from denial of service due to a large number of pending authentication connection attempts, use the rate limiting function of MaxStartups to protect availability of sshd logins and prevent overwhelming the daemon.</t>
  </si>
  <si>
    <t>Edit the /etc/ssh/sshd_config file to set the MaxStartups parameter to 10:30:60 or more restrictive:
MaxStartups 10:30:60
Note: First occurrence of a option takes precedence.</t>
  </si>
  <si>
    <t>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t>
  </si>
  <si>
    <t>4.2.17 Ensure sshd MaxSessions is configured</t>
  </si>
  <si>
    <t>All of the following must pass to satisfy this requirement:
-------------------------
FAILED - config file MaxSessions setting
File permission denied: /etc/ssh/sshd_config
-------------------------
FAILED - sshd maxsessions setting
The command script with multiple lines returned : 
/etc/ssh/sshd_config: Permission denied
port 22: 
Fail</t>
  </si>
  <si>
    <t>The MaxSessions parameter specifies the maximum number of open sessions permitted from a given connection.
To protect a system from denial of service due to a large number of concurrent sessions, use the rate limiting function of MaxSessions to protect availability of sshd logins and prevent overwhelming the daemon.</t>
  </si>
  <si>
    <t>Edit the /etc/ssh/sshd_config file to set the MaxSessions parameter to 10 or less above any Match entries as follows:
MaxSessions 10
Note: First occurrence of a option takes precedence, Match set statements withstanding.</t>
  </si>
  <si>
    <t>800-53|AC-10, 800-53r5|AC-10, CSF2.0|PR.AA-05, GDPR|32.1.b, HIPAA|164.306(a)(1), ITSG-33|AC-10, LEVEL|1A, NESA|T5.5.1, QCSC-v1|5.2.1, QCSC-v1|5.2.2</t>
  </si>
  <si>
    <t>4.2.16 Ensure sshd MaxAuthTries is configured</t>
  </si>
  <si>
    <t>All of the following must pass to satisfy this requirement:
-------------------------
FAILED - sshd maxauthtries setting
The command script with multiple lines returned : 
/etc/ssh/sshd_config: Permission denied
port 22: 
Fail
-------------------------
FAILED - config file maxauthtries setting
File permission denied: /etc/ssh/sshd_config</t>
  </si>
  <si>
    <t>The MaxAuthTries parameter specifies the maximum number of authentication attempts permitted per connection. When the login failure count reaches half the number, error messages will be written to the syslog file detailing the login failure.
Setting the MaxAuthTries parameter to a low number will minimize the risk of successful brute force attacks to the SSH server. While the recommended setting is 4, set the number based on site policy.</t>
  </si>
  <si>
    <t>Edit the /etc/ssh/sshd_config file to set the MaxAuthTries parameter to 4 or less above any Match entries as follows:
MaxAuthTries 4
Note: First occurrence of a option takes precedence, Match set statements withstanding.</t>
  </si>
  <si>
    <t>800-171|3.3.1, 800-171|3.3.2, 800-171|3.3.6, 800-171r3|03.03.02a., 800-171r3|03.03.02b., 800-171r3|03.03.03, 800-171r3|03.03.06a., 800-53|AU-3, 800-53|AU-3(1), 800-53|AU-7, 800-53|AU-12, 800-53r5|AU-3, 800-53r5|AU-3(1), 800-53r5|AU-7, 800-53r5|AU-12, CN-L3|7.1.2.3(a), CN-L3|7.1.2.3(b), CN-L3|7.1.2.3(c), CN-L3|7.1.3.3(a), CN-L3|7.1.3.3(b), CN-L3|8.1.4.3(b),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</si>
  <si>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4.2.14 Ensure sshd LogLevel is configured</t>
  </si>
  <si>
    <t>LogLevel gives the verbosity level that is used when logging messages from sshd. The possible values are: QUIET FATAL ERROR INFO VERBOSE DEBUG DEBUG1 DEBUG2 and DEBUG3 The default is INFO. DEBUG and DEBUG1 are equivalent. DEBUG2 and DEBUG3 each specify higher levels of debugging output.
Note: Logging with a DEBUG level violates the privacy of users and is not recommended.
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</si>
  <si>
    <t>Edit the /etc/ssh/sshd_config file to set the LogLevel parameter as follows:
LogLevel VERBOSE
   - OR -
LogLevel INFO
Note: First occurrence of a option takes precedence.</t>
  </si>
  <si>
    <t>800-171|3.3.1, 800-171|3.3.2, 800-171|3.3.6, 800-171r3|03.03.01, 800-171r3|03.03.03, 800-171r3|03.03.06a., 800-53|AU-2, 800-53|AU-7, 800-53|AU-12, 800-53r5|AU-2, 800-53r5|AU-7, 800-53r5|AU-12, CN-L3|7.1.2.3(c), CN-L3|8.1.4.3(a), CSCv7|6.2, CSCv7|6.3,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t>
  </si>
  <si>
    <t>4.2.13 Ensure sshd LoginGraceTime is configured</t>
  </si>
  <si>
    <t>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
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</si>
  <si>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Edit the /etc/ssh/sshd_config file to set the LoginGraceTime parameter is 60 or 1m :
LoginGraceTime 60
Note: First occurrence of a option takes precedence.</t>
  </si>
  <si>
    <t>800-171|3.1.11, 800-171r3|03.01.11, 800-53|AC-10, 800-53|AC-12, 800-53r5|AC-10, 800-53r5|AC-12, CN-L3|7.1.2.2(d), CN-L3|7.1.3.7(b), CN-L3|8.1.4.1(b), CSF2.0|PR.AA-03, CSF2.0|PR.AA-05, GDPR|32.1.b, HIPAA|164.306(a)(1), HIPAA|164.312(a)(2)(iii), ITSG-33|AC-10, ITSG-33|AC-12, LEVEL|1A, NESA|T5.5.1, NIAv2|NS49, QCSC-v1|5.2.1, QCSC-v1|5.2.2</t>
  </si>
  <si>
    <t>4.2.10 Ensure sshd HostbasedAuthentication is disabled</t>
  </si>
  <si>
    <t>All of the following must pass to satisfy this requirement:
-------------------------
PASSED - sshd hostbasedauthentication setting
The command script with multiple lines returned : 
/etc/ssh/sshd_config: Permission denied
port 22: 
Pass
-------------------------
FAILED - config file HostbasedAuthentication setting
File permission denied: /etc/ssh/sshd_config</t>
  </si>
  <si>
    <t>The HostbasedAuthentication parameter specifies if authentication is allowed through trusted hosts via the user ofrhosts or /etc/hosts.equiv along with successful public key client host authentication.
Even though therhosts files are ineffective if support is disabled in /etc/pam.conf disabling the ability to userhosts files in SSH provides an additional layer of protection.</t>
  </si>
  <si>
    <t>Edit the /etc/ssh/sshd_config file to set the HostbasedAuthentication parameter to no :
HostbasedAuthentication no
Note: First occurrence of a option takes precedence, Match set statements withstanding.</t>
  </si>
  <si>
    <t>800-171|3.4.6, 800-171|3.4.7, 800-171r3|03.04.06b., 800-53|CM-7b., 800-53r5|CM-7b., CN-L3|7.1.3.5(c), CN-L3|7.1.3.7(d), CN-L3|8.1.4.4(b), CSF|PR.IP-1, CSF|PR.PT-3, CSF2.0|PR.PS-01, GDPR|32.1.b, HIPAA|164.306(a)(1), ITSG-33|CM-7a., LEVEL|1A, NIAv2|SS13b, NIAv2|SS14a, NIAv2|SS14c, PCI-DSSv3.2.1|2.2.2, PCI-DSSv4.0|2.2.4, QCSC-v1|3.2, SWIFT-CSCv1|2.3</t>
  </si>
  <si>
    <t>3.4.2.2 Ensure firewalld service enabled and running</t>
  </si>
  <si>
    <t>All of the following must pass to satisfy this requirement:
-------------------------
PASSED - firewalld check - enabled
The command '/bin/systemctl is-enabled firewalld' returned : 
enabled
-------------------------
FAILED - firewalld check - in use
The command '/bin/firewall-cmd --state' returned : 
Authorization failed.
    Make sure polkit agent is running or run the application as superuser.</t>
  </si>
  <si>
    <t>firewalld.service enables the enforcement of firewall rules configured through firewalld
Ensure that the firewalld.service is enabled and running to enforce firewall rules configured through firewalld</t>
  </si>
  <si>
    <t>Run the following command to unmask firewalld
# systemctl unmask firewalld
Run the following command to enable and start firewalld
# systemctl --now enable firewalld
Impact:
Changing firewall settings while connected over network can result in being locked out of the system.</t>
  </si>
  <si>
    <t>800-171|3.13.1, 800-171|3.13.5, 800-171|3.13.6, 800-171r3|03.13.01, 800-171r3|03.13.06, 800-53|CA-9, 800-53|SC-7, 800-53|SC-7(5), 800-53r5|CA-9, 800-53r5|SC-7, 800-53r5|SC-7(5), CN-L3|7.1.2.2(c), CN-L3|8.1.10.6(j), CSCv7|9.4, CSCv8|4.4, CSF|DE.CM-1, CSF|ID.AM-3, CSF|PR.AC-5, CSF|PR.DS-5, CSF|PR.PT-4, CSF2.0|DE.CM-01, CSF2.0|ID.AM-03, CSF2.0|PR.DS-01, CSF2.0|PR.DS-02, CSF2.0|PR.DS-10, CSF2.0|PR.IR-01, GDPR|32.1.b, GDPR|32.1.d, GDPR|32.2, HIPAA|164.306(a)(1), ISO-27001-2022|A.5.14, ISO-27001-2022|A.8.16, ISO-27001-2022|A.8.20, ISO/IEC-27001|A.13.1.3, ITSG-33|SC-7, ITSG-33|SC-7(5), LEVEL|1A, NESA|T4.5.4, NIAv2|GS1, NIAv2|GS2a, NIAv2|GS2b, NIAv2|GS7b, NIAv2|NS25, PCI-DSSv3.2.1|1.1, PCI-DSSv3.2.1|1.2, PCI-DSSv3.2.1|1.2.1, PCI-DSSv3.2.1|1.3, PCI-DSSv4.0|1.2.1, PCI-DSSv4.0|1.4.1, QCSC-v1|4.2, QCSC-v1|5.2.1, QCSC-v1|5.2.2, QCSC-v1|5.2.3, QCSC-v1|6.2, QCSC-v1|8.2.1, SWIFT-CSCv1|2.1, TBA-FIISB|43.1</t>
  </si>
  <si>
    <t>3.3.6 Ensure secure icmp redirects are not accepted</t>
  </si>
  <si>
    <t>The command script with multiple lines returned : 
- Audit Result:
  ** FAIL **
 - Reason(s) for audit failure:
 - "net.ipv4.conf.all.secure_redirects" is incorrectly set to "1" in the running configuration and should have a value of: "0"
 - "net.ipv4.conf.all.secure_redirects" is not set in an included file
   ** Note: "net.ipv4.conf.all.secure_redirects" May be set in a file that's ignored by load procedure **
 - "net.ipv4.conf.default.secure_redirects" is incorrectly set to "1" in the running configuration and should have a value of: "0"
 - "net.ipv4.conf.default.secure_redirects" is not set in an included file
   ** Note: "net.ipv4.conf.default.secure_redirects" May be set in a file that's ignored by load procedure **</t>
  </si>
  <si>
    <t>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net.ipv4.conf.all.secure_redirects and net.ipv4.conf.default.secure_redirects to 0 protects the system from routing table updates by possibly compromised known gateways.</t>
  </si>
  <si>
    <t>Set the following parameters in /etc/sysctl.conf or a file in /etc/sysctl.d/ ending inconf :
 - net.ipv4.conf.all.secure_redirects = 0
 - net.ipv4.conf.default.secure_redirects = 0
Example:
# printf '%s
' "net.ipv4.conf.all.secure_redirects = 0" "net.ipv4.conf.default.secure_redirects = 0" &gt;&gt; /etc/sysctl.d/60-netipv4_sysctl.conf
Run the following commands to set the active kernel parameters:
# {
   sysctl -w net.ipv4.conf.all.secure_redirects=0
   sysctl -w net.ipv4.conf.default.secure_redirects=0
   sysctl -w net.ipv4.route.flush=1
}
Note: If these settings appear in a canonically later file, or later in the same file, these settings will be overwritten</t>
  </si>
  <si>
    <t>800-171|3.4.2, 800-171|3.4.6, 800-171|3.4.7, 800-171r3|03.04.02, 800-171r3|03.04.06, 800-53|CM-6, 800-53|CM-7, 800-53r5|CM-6, 800-53r5|CM-7, CSCv7|9.2, CSCv8|4.8, CSF|PR.IP-1, CSF|PR.PT-3, CSF2.0|DE.CM-09, CSF2.0|PR.PS-01, GDPR|32.1.b, HIPAA|164.306(a)(1), ISO-27001-2022|A.8.9, ITSG-33|CM-6, ITSG-33|CM-7, LEVEL|1A, NIAv2|SS15a, PCI-DSSv3.2.1|2.2.2, SWIFT-CSCv1|2.3</t>
  </si>
  <si>
    <t>3.3.5 Ensure icmp redirects are not accepted</t>
  </si>
  <si>
    <t>The command script with multiple lines returned : 
- Audit Result:
  ** FAIL **
 - Reason(s) for audit failure:
 - "net.ipv4.conf.all.accept_redirects" is incorrectly set to "1" in the running configuration and should have a value of: "0"
 - "net.ipv4.conf.all.accept_redirects" is not set in an included file
   ** Note: "net.ipv4.conf.all.accept_redirects" May be set in a file that's ignored by load procedure **
 - "net.ipv4.conf.default.accept_redirects" is incorrectly set to "1" in the running configuration and should have a value of: "0"
 - "net.ipv4.conf.default.accept_redirects" is not set in an included file
   ** Note: "net.ipv4.conf.default.accept_redirects" May be set in a file that's ignored by load procedure **
- Correctly set:
 - "net.ipv6.conf.all.accept_redirects" is correctly set to "0" in the running configuration
 - "net.ipv6.conf.all.accept_redirects" is correctly set to "0" in "/etc/sysctl.d/60-netipv6_sysctl.conf"
 - "net.ipv6.conf.default.accept_redirects" is correctly set to "0" in the running configuration
 - "net.ipv6.conf.default.accept_redirects" is correctly set to "0" in "/etc/sysctl.d/60-netipv6_sysctl.conf"</t>
  </si>
  <si>
    <t>ICMP redirect messages are packets that convey routing information and tell your host (acting as a router) to send packets via an alternate path. It is a way of allowing an outside routing device to update your system routing tables.
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</si>
  <si>
    <t>Set the following parameters in /etc/sysctl.conf or a file in /etc/sysctl.d/ ending inconf :
 - net.ipv4.conf.all.accept_redirects = 0
 - net.ipv4.conf.default.accept_redirects = 0
Example:
# printf '%s
' "net.ipv4.conf.all.accept_redirects = 0" "net.ipv4.conf.default.accept_redirects = 0" &gt;&gt; /etc/sysctl.d/60-netipv4_sysctl.conf
Run the following command to set the active kernel parameters:
# {
   sysctl -w net.ipv4.conf.all.accept_redirects=0
   sysctl -w net.ipv4.conf.default.accept_redirects=0
   sysctl -w net.ipv4.route.flush=1
}
-IF- IPv6 is enabled on the system:
Set the following parameters in /etc/sysctl.conf or a file in /etc/sysctl.d/ ending inconf :
 - net.ipv6.conf.all.accept_redirects = 0
 - net.ipv6.conf.default.accept_redirects = 0
Example:
# printf '%s
' "net.ipv6.conf.all.accept_redirects = 0" "net.ipv6.conf.default.accept_redirects = 0" &gt;&gt; /etc/sysctl.d/60-netipv6_sysctl.conf
Run the following command to set the active kernel parameters:
# {
   sysctl -w net.ipv6.conf.all.accept_redirects=0
   sysctl -w net.ipv6.conf.default.accept_redirects=0
   sysctl -w net.ipv6.route.flush=1
}
Note: If these settings appear in a canonically later file, or later in the same file, these settings will be overwritten</t>
  </si>
  <si>
    <t>3.3.4 Ensure broadcast icmp requests are ignored</t>
  </si>
  <si>
    <t>The command script with multiple lines returned : 
- Audit Result:
  ** FAIL **
 - Reason(s) for audit failure:
 - "net.ipv4.icmp_echo_ignore_broadcasts" is not set in an included file
   ** Note: "net.ipv4.icmp_echo_ignore_broadcasts" May be set in a file that's ignored by load procedure **
- Correctly set:
 - "net.ipv4.icmp_echo_ignore_broadcasts" is correctly set to "1" in the running configuration</t>
  </si>
  <si>
    <t>Setting net.ipv4.icmp_echo_ignore_broadcasts to 1 will cause the system to ignore all ICMP echo and timestamp requests to broadcast and multicast addresses.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</si>
  <si>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Set the following parameter in /etc/sysctl.conf or a file in /etc/sysctl.d/ ending inconf :
 - net.ipv4.icmp_echo_ignore_broadcasts = 1
Example:
# printf '%s
' "net.ipv4.icmp_echo_ignore_broadcasts = 1" &gt;&gt; /etc/sysctl.d/60-netipv4_sysctl.conf
Run the following command to set the active kernel parameters:
# {
   sysctl -w net.ipv4.icmp_echo_ignore_broadcasts=1
   sysctl -w net.ipv4.route.flush=1
}
Note: If these settings appear in a canonically later file, or later in the same file, these settings will be overwritten</t>
  </si>
  <si>
    <t>3.3.3 Ensure bogus icmp responses are ignored</t>
  </si>
  <si>
    <t>The command script with multiple lines returned : 
- Audit Result:
  ** FAIL **
 - Reason(s) for audit failure:
 - "net.ipv4.icmp_ignore_bogus_error_responses" is not set in an included file
   ** Note: "net.ipv4.icmp_ignore_bogus_error_responses" May be set in a file that's ignored by load procedure **
- Correctly set:
 - "net.ipv4.icmp_ignore_bogus_error_responses" is correctly set to "1" in the running configuration</t>
  </si>
  <si>
    <t>Setting net.ipv4.icmp_ignore_bogus_error_responses to 1 prevents the kernel from logging bogus responses (RFC-1122 non-compliant) from broadcast reframes, keeping file systems from filling up with useless log messages.
Some routers (and some attackers) will send responses that violate RFC-1122 and attempt to fill up a log file system with many useless error messages.</t>
  </si>
  <si>
    <t>Set the following parameter in /etc/sysctl.conf or a file in /etc/sysctl.d/ ending inconf :
 - net.ipv4.icmp_ignore_bogus_error_responses = 1
Example:
# printf '%s
' "net.ipv4.icmp_ignore_bogus_error_responses = 1" &gt;&gt; /etc/sysctl.d/60-netipv4_sysctl.conf
Run the following command to set the active kernel parameters:
# {
   sysctl -w net.ipv4.icmp_ignore_bogus_error_responses=1
   sysctl -w net.ipv4.route.flush=1
}
Note: If these settings appear in a canonically later file, or later in the same file, these settings will be overwritten</t>
  </si>
  <si>
    <t>3.3.2 Ensure packet redirect sending is disabled</t>
  </si>
  <si>
    <t>The command script with multiple lines returned : 
- Audit Result:
  ** FAIL **
 - Reason(s) for audit failure:
 - "net.ipv4.conf.all.send_redirects" is incorrectly set to "1" in the running configuration and should have a value of: "0"
 - "net.ipv4.conf.all.send_redirects" is not set in an included file
   ** Note: "net.ipv4.conf.all.send_redirects" May be set in a file that's ignored by load procedure **
 - "net.ipv4.conf.default.send_redirects" is incorrectly set to "1" in the running configuration and should have a value of: "0"
 - "net.ipv4.conf.default.send_redirects" is not set in an included file
   ** Note: "net.ipv4.conf.default.send_redirects" May be set in a file that's ignored by load procedure **</t>
  </si>
  <si>
    <t>ICMP Redirects are used to send routing information to other hosts. As a host itself does not act as a router (in a host only configuration), there is no need to send redirects.
An attacker could use a compromised host to send invalid ICMP redirects to other router devices in an attempt to corrupt routing and have users access a system set up by the attacker as opposed to a valid system.</t>
  </si>
  <si>
    <t>Set the following parameters in /etc/sysctl.conf or a file in /etc/sysctl.d/ ending inconf :
 - net.ipv4.conf.all.send_redirects = 0
 - net.ipv4.conf.default.send_redirects = 0
Example:
# printf '%s
' "net.ipv4.conf.all.send_redirects = 0" "net.ipv4.conf.default.send_redirects = 0" &gt;&gt; /etc/sysctl.d/60-netipv4_sysctl.conf
Run the following command to set the active kernel parameters:
# {
   sysctl -w net.ipv4.conf.all.send_redirects=0
   sysctl -w net.ipv4.conf.default.send_redirects=0
   sysctl -w net.ipv4.route.flush=1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t>
  </si>
  <si>
    <t>3.3.10 Ensure tcp syn cookies is enabled</t>
  </si>
  <si>
    <t>The command script with multiple lines returned : 
- Audit Result:
  ** FAIL **
 - Reason(s) for audit failure:
 - "net.ipv4.tcp_syncookies" is not set in an included file
   ** Note: "net.ipv4.tcp_syncookies" May be set in a file that's ignored by load procedure **
- Correctly set:
 - "net.ipv4.tcp_syncookies" is correctly set to "1" in the running configuration</t>
  </si>
  <si>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t>
  </si>
  <si>
    <t>Set the following parameter in /etc/sysctl.conf or a file in /etc/sysctl.d/ ending inconf :
 - net.ipv4.tcp_syncookies = 1
Example:
# printf '%s
' "net.ipv4.tcp_syncookies = 1" &gt;&gt; /etc/sysctl.d/60-netipv4_sysctl.conf
Run the following command to set the active kernel parameters:
# {
   sysctl -w net.ipv4.tcp_syncookies=1
   sysctl -w net.ipv4.route.flush=1
}
Note: If these settings appear in a canonically later file, or later in the same file, these settings will be overwritten</t>
  </si>
  <si>
    <t>3.3.1 Ensure ip forwarding is disabled</t>
  </si>
  <si>
    <t>The command script with multiple lines returned : 
- Audit Result:
  ** FAIL **
 - Reason(s) for audit failure:
 - "net.ipv4.ip_forward" is not set in an included file
   ** Note: "net.ipv4.ip_forward" May be set in a file that's ignored by load procedure **
- Correctly set:
 - "net.ipv4.ip_forward" is correctly set to "0" in the running configuration
 - "net.ipv6.conf.all.forwarding" is correctly set to "0" in the running configuration
 - "net.ipv6.conf.all.forwarding" is correctly set to "0" in "/etc/sysctl.d/60-ipv6-security.conf"</t>
  </si>
  <si>
    <t>The net.ipv4.ip_forward and net.ipv6.conf.all.forwarding flags are used to tell the system whether it can forward packets or not.
Setting net.ipv4.ip_forward and net.ipv6.conf.all.forwarding to 0 ensures that a system with multiple interfaces (for example, a hard proxy), will never be able to forward packets, and therefore, never serve as a router.</t>
  </si>
  <si>
    <t>Set the following parameter in /etc/sysctl.conf or a file in /etc/sysctl.d/ ending inconf :
 - net.ipv4.ip_forward = 0
Example:
# printf '%s
' "net.ipv4.ip_forward = 0" &gt;&gt; /etc/sysctl.d/60-netipv4_sysctl.conf
Run the following command to set the active kernel parameters:
# {
   sysctl -w net.ipv4.ip_forward=0
   sysctl -w net.ipv4.route.flush=1
}
-IF- IPv6 is enabled on the system:
Set the following parameter in /etc/sysctl.conf or a file in /etc/sysctl.d/ ending inconf :
 - net.ipv6.conf.all.forwarding = 0
Example:
# printf '%s
' "net.ipv6.conf.all.forwarding = 0" &gt;&gt; /etc/sysctl.d/60-netipv6_sysctl.conf
Run the following command to set the active kernel parameters:
# {
   sysctl -w net.ipv6.conf.all.forwarding=0
   sysctl -w net.ipv6.route.flush=1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</si>
  <si>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2.1.2 Ensure chrony is configured</t>
  </si>
  <si>
    <t>No matching files were found
Less than 1 matches of regex found</t>
  </si>
  <si>
    <t>expect: ^[\s]*(server|pool)[\s]+10.0.0.2
file: /etc/chrony.conf /etc/chrony.d/*
min_occurrences: 1
regex: ^[\s]*(server|pool)[\s]+10.0.0.2
string_required: NO</t>
  </si>
  <si>
    <t>chrony is a daemon which implements the Network Time Protocol (NTP) and is designed to synchronize system clocks across a variety of systems and use a source that is highly accurate. More information on chrony can be found at
http://chrony.tuxfamily.org/
. chrony can be configured to be a client and/or a server.
If chrony is in use on the system proper configuration is vital to ensuring time synchronization is working properly.</t>
  </si>
  <si>
    <t>Add or edit server or pool lines to /etc/chrony.conf as appropriate:
Example:
server &lt;remote-server&gt;</t>
  </si>
  <si>
    <t>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t>
  </si>
  <si>
    <t>1.6.3 Ensure remote login warning banner is configured properly</t>
  </si>
  <si>
    <t>'All of the following must pass to satisfy this requirement:
-------------------------
PASSED - mrsv not included in /etc/issue.net
The following file(s) do not contain "\\[mrsv]": 
      /etc/issue.net
-------------------------
FAILED - banner text
First ERROR: NOTICE TO != All activities
NOTICE TO USERS
This system is restricted to authorized users for legitimate business purposes.
Unauthorized access is prohibited and will be prosecuted under applicable laws.
All activities on this system are subject to monitoring and logging for security and compliance purposes. 
By accessing this system, you consent to this monitoring.
If you do not agree to these terms, disconnect immediately.</t>
  </si>
  <si>
    <t>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</si>
  <si>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Edit the /etc/issue.net file with the appropriate contents according to your site policy, remove any instances of m r s v or references to the OS platform
Example:
# echo "Authorized users only. All activity may be monitored and reported." &gt; /etc/issue.net</t>
  </si>
  <si>
    <t>1.6.2 Ensure local login warning banner is configured properly</t>
  </si>
  <si>
    <t>'All of the following must pass to satisfy this requirement:
-------------------------
FAILED - banner text
First ERROR: Authorized users != All activities
Authorized users only. All activity may be monitored and reported.
-------------------------
PASSED - mrsv not included in /etc/issue
The following file(s) do not contain "\\[mrsv]": 
      /etc/issue</t>
  </si>
  <si>
    <t>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</si>
  <si>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Edit the /etc/issue file with the appropriate contents according to your site policy, remove any instances of m r s v or references to the OS platform
Example:
# echo "Authorized users only. All activity may be monitored and reported." &gt; /etc/issue</t>
  </si>
  <si>
    <t>1.6.1 Ensure message of the day is configured properly</t>
  </si>
  <si>
    <t>All of the following must pass to satisfy this requirement:
-------------------------
PASSED - mrsv not included in /etc/motd
The following file(s) do not contain "\\[mrsv]": 
      /etc/motd
-------------------------
FAILED - banner text
Unable to read empty file /etc/motd</t>
  </si>
  <si>
    <t>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</si>
  <si>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Edit the /etc/motd file with the appropriate contents according to your site policy, remove any instances of m r s v or references to the OS platform
-OR-
-IF- the motd is not used, this file can be removed.
Run the following command to remove the motd file:
# rm /etc/motd</t>
  </si>
  <si>
    <t>800-171|3.1.9, 800-171r3|03.01.09, 800-53|AC-8a., 800-53r5|AC-8a., GDPR|32.1.b, HIPAA|164.306(a)(1), ISO-27001-2022|A.8.5, ITSG-33|AC-8a., LEVEL|1A, NESA|M5.2.5, NESA|T5.5.1, NIAv2|AM10a, NIAv2|AM10b, NIAv2|AM10c, NIAv2|AM10d, NIAv2|AM10e, TBA-FIISB|45.2.4</t>
  </si>
  <si>
    <t>1.4.1 Ensure address space layout randomization (ASLR) is enabled</t>
  </si>
  <si>
    <t>The command script with multiple lines returned : 
- Audit Result:
  ** FAIL **
 - Reason(s) for audit failure:
 - "kernel.randomize_va_space" is not set in an included file
   ** Note: "kernel.randomize_va_space" May be set in a file that's ignored by load procedure **
- Correctly set:
 - "kernel.randomize_va_space" is correctly set to "2" in the running configuration</t>
  </si>
  <si>
    <t>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t>
  </si>
  <si>
    <t>Set the following parameter in /etc/sysctl.conf or a file in /etc/sysctl.d/ ending inconf :
 - kernel.randomize_va_space = 2
Example:
# printf '%s
' "kernel.randomize_va_space = 2" &gt;&gt; /etc/sysctl.d/60-kernel_sysctl.conf
Run the following command to set the active kernel parameter:
# sysctl -w kernel.randomize_va_space=2
Note: If these settings appear in a canonically later file, or later in the same file, these settings will be overwritten</t>
  </si>
  <si>
    <t>800-53|SI-16, 800-53r5|SI-16, CSCv7|8.3, CSCv8|10.5, CSF2.0|PR.DS-10, GDPR|32.1.b, HIPAA|164.306(a)(1), ITSG-33|SI-16, LEVEL|1A</t>
  </si>
  <si>
    <t>1.3.1 Ensure bootloader password is set</t>
  </si>
  <si>
    <t>The command script with multiple lines returned : 
find: '/boot/efi/EFI/redhat': Permission denied
find: '/boot/grub2': Permission denied</t>
  </si>
  <si>
    <t>cmd: multiple line script
dont_echo_cmd: NO
expect: GRUB2_PASSWORD=grub.pbkdf2.sha512
timeout: 7200</t>
  </si>
  <si>
    <t>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SELinux at boot time).</t>
  </si>
  <si>
    <t>Create an encrypted password with grub2-setpassword :
# grub2-setpassword
Enter password: &lt;password&gt;
Confirm password: &lt;password&gt;
Note: Requires version 7.2 or later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the configuration files will have to be edited via the LiveCD or other means to fix the problem</t>
  </si>
  <si>
    <t>1.2.5 Ensure updates, patches, and additional security software are installed</t>
  </si>
  <si>
    <t>'The command 'if /bin/yum check-update; then echo 'pass'; fi' returned : 
Loaded plugins: ulninfo
https://yum.oracle.com/repo/OracleLinux/OL7/UEKR6/x86_64/repodata/repomd.xml.asc: [Errno 14] HTTPS Error 404 - Not Found
Trying other mirror.
 One of the configured repositories failed (Latest Unbreakable Enterprise Kernel Release 6 for Oracle Linux 7Server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--disablerepo=ol7_UEKR6 ...
     4. Disable the repository permanently, so yum won't use it by default. Yum
        will then just ignore the repository until you permanently enable it
        again or use --enablerepo for temporary usage:
            yum-config-manager --disable ol7_UEKR6
        or
            subscription-manager repos --disable=ol7_UEKR6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--setopt=ol7_UEKR6.skip_if_unavailable=true
failure: repodata/repomd.xml.asc from ol7_UEKR6: [Errno 256] No more mirrors to try.
https://yum.oracle.com/repo/OracleLinux/OL7/UEKR6/x86_64/repodata/repomd.xml.asc: [Errno 14] HTTPS Error 404 - Not Found</t>
  </si>
  <si>
    <t>cmd: if /bin/yum check-update; then echo 'pass'; fi
expect: ^pass$</t>
  </si>
  <si>
    <t>Periodically patches are released for included software either due to security flaws or to include additional functionality.
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t>
  </si>
  <si>
    <t>Use your package manager to update all packages on the system according to site policy.
The following command will install all available updates:
# yum update
Once the update process is complete, verify if reboot is required to load changes.
needs-restarting -r</t>
  </si>
  <si>
    <t>800-171|3.11.2, 800-171|3.11.3, 800-171|3.14.1, 800-171r3|03.11.02, 800-171r3|03.14.01, 800-53|RA-5, 800-53|SI-2, 800-53|SI-2(2), 800-53r5|RA-5, 800-53r5|RA-7, 800-53r5|SI-2, 800-53r5|SI-2(2), CN-L3|8.1.4.4(e), CN-L3|8.1.10.5(a), CN-L3|8.1.10.5(b), CN-L3|8.5.4.1(b), CN-L3|8.5.4.1(d), CN-L3|8.5.4.1(e), CSCv7|3.4, CSCv8|7.3, CSCv8|7.4,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LEVEL|1M, NESA|M1.2.2, NESA|M5.4.1, NESA|T7.6.2, NESA|T7.7.1, NIAv2|PR9, PCI-DSSv3.2.1|6.1, PCI-DSSv3.2.1|6.2, PCI-DSSv4.0|6.3, PCI-DSSv4.0|6.3.1, PCI-DSSv4.0|6.3.3, QCSC-v1|3.2, QCSC-v1|5.2.1, QCSC-v1|5.2.2, QCSC-v1|5.2.3, QCSC-v1|8.2.1, QCSC-v1|10.2.1, QCSC-v1|11.2, SWIFT-CSCv1|2.2, SWIFT-CSCv1|2.7</t>
  </si>
  <si>
    <t>6.1.14 Audit system file permissions</t>
  </si>
  <si>
    <t>WARNING</t>
  </si>
  <si>
    <t>'The command 'rpm -Va --nomtime --nosize --nomd5 --nolinkto --noconfig --noghost | /bin/awk '{ print } END { if (NR==0) print "none" }'' returned : 
missing     /etc/grub.d/README (Permission denied)
missing     /etc/polkit-1/localauthority/10-vendor.d (Permission denied)
missing     /etc/polkit-1/localauthority/20-org.d (Permission denied)
missing     /etc/polkit-1/localauthority/30-site.d (Permission denied)
missing     /etc/polkit-1/localauthority/50-local.d (Permission denied)
missing     /etc/polkit-1/localauthority/90-mandatory.d (Permission denied)
missing     /var/lib/polkit-1/localauthority (Permission denied)
missing     /var/lib/polkit-1/localauthority/10-vendor.d (Permission denied)
missing     /var/lib/polkit-1/localauthority/20-org.d (Permission denied)
missing     /var/lib/polkit-1/localauthority/30-site.d (Permission denied)
missing     /var/lib/polkit-1/localauthority/50-local.d (Permission denied)
missing     /var/lib/polkit-1/localauthority/90-mandatory.d (Permission denied)
missing     /etc/cron.hourly/0anacron (Permission denied)
missing     /etc/selinux/targeted/active/commit_num (Permission denied)
missing     /etc/selinux/targeted/active/file_contexts (Permission denied)
missing     /etc/selinux/targeted/active/file_contexts.homedirs (Permission denied)
missing     /etc/selinux/targeted/active/homedir_template (Permission denied)
missing     /etc/selinux/targeted/active/modules (Permission denied)
missing     /etc/selinux/targeted/active/modules/100 (Permission denied)
missing     /etc/selinux/targeted/active/modules/100/abrt (Permission denied)
missing     /etc/selinux/targeted/active/modules/100/abrt/cil (Permission denied)
missing     /etc/selinux/targeted/active/modules/100/abrt/hll (Permission denied)
missing     /etc/selinux/targeted/active/modules/100/abrt/lang_ext (Permission denied)
missing     /etc/selinux/targeted/active/modules/100/accountsd (Permission denied)
missing     /etc/selinux/targeted/active/modules/100/accountsd/cil (Permission denied)
missing     /etc/selinux/targeted/active/modules/100/accountsd/hll (Permission denied)
missing     /etc/selinux/targeted/active/modules/100/accountsd/lang_ext (Permission denied)
missing     /etc/selinux/targeted/active/modules/100/acct (Permission denied)
missing     /etc/selinux/targeted/active/modules/100/acct/cil (Permission denied)
missing     /etc/selinux/targeted/active/modules/100/acct/hll (Permission denied)
missing     /etc/selinux/targeted/active/modules/100/acct/lang_ext (Permission denied)
missing     /etc/selinux/targeted/active/modules/100/afs (Permission denied)
missing     /etc/selinux/targeted/active/modules/100/afs/cil (Permission denied)
missing     /etc/selinux/targeted/active/modules/100/afs/hll (Permission denied)
missing     /etc/selinux/targeted/active/modules/100/afs/lang_ext (Permission denied)
missing     /etc/selinux/targeted/active/modules/100/aiccu (Permission denied)
missing     /etc/selinux/targeted/active/modules/100/aiccu/cil (Permission denied)
missing     /etc/selinux/targeted/active/modules/100/aiccu/hll (Permission denied)
missing     /etc/selinux/targeted/active/modules/100/aiccu/lang_ext (Permission denied)
missing     /etc/selinux/targeted/active/modules/100/aide (Permission denied)
missing     /etc/selinux/targeted/active/modules/100/aide/cil (Permission denied)
missing     /etc/selinux/targeted/active/modules/100/aide/hll (Permission denied)
missing     /etc/selinux/targeted/active/modules/100/aide/lang_ext (Permission denied)
missing     /etc/selinux/targeted/active/modules/100/ajaxterm (Permission denied)
missing     /etc/selinux/targeted/active/modules/100/ajaxterm/cil (Permission denied)
missing     /etc/selinux/targeted/active/modules/100/ajaxterm/hll (Permission denied)
missing     /etc/selinux/targeted/active/modules/100/ajaxterm/lang_ext (Permission denied)
missing     /etc/selinux/targeted/active/modules/100/alsa (Permission denied)
missing     /etc/selinux/targeted/active/modules/100/alsa/cil (Permission denied)
missing     /etc/selinux/targeted/active/modules/100/alsa/hll (Permission denied)
missing     /etc/selinux/targeted/active/modules/100/alsa/lang_ext (Permission denied)
missing     /etc/selinux/targeted/active/modules/100/amanda (Permission denied)
missing     /etc/selinux/targeted/active/modules/100/amanda/cil (Permission denied)
missing     /etc/selinux/targeted/active/modules/100/amanda/hll (Permission denied)
missing     /etc/selinux/targeted/active/modules/100/amanda/lang_ext (Permission denied)
missing     /etc/selinux/targeted/active/modules/100/amtu (Permission denied)
missing     /etc/selinux/targeted/active/modules/100/amtu/cil (Permission denied)
missing     /etc/selinux/targeted/active/modules/100/amtu/hll (Permission denied)
missing     /etc/selinux/targeted/active/modules/100/amtu/lang_ext (Permission denied)
missing     /etc/selinux/targeted/active/modules/100/anaconda (Permission denied)
missing     /etc/selinux/targeted/active/modules/100/anaconda/cil (Permission denied)
missing     /etc/selinux/targeted/active/modules/100/anaconda/hll (Permission denied)
missing     /etc/selinux/targeted/active/modules/100/anaconda/lang_ext (Permission denied)
missing     /etc/selinux/targeted/active/modules/100/antivirus (Permission denied)
missing     /etc/selinux/targeted/active/modules/100/antivirus/cil (Permission denied)
missing     /etc/selinux/targeted/active/modules/100/antivirus/hll (Permission denied)
missing     /etc/selinux/targeted/active/modules/100/antivirus/lang_ext (Permission denied)
missing     /etc/selinux/targeted/active/modules/100/apache (Permission denied)
missing     /etc/selinux/targeted/active/modules/100/apache/cil (Permission denied)
missing     /etc/selinux/targeted/active/modules/100/apache/hll (Permission denied)
missing     /etc/selinux/targeted/active/modules/100/apache/lang_ext (Permission denied)
missing     /etc/selinux/targeted/active/modules/100/apcupsd (Permission denied)
missing     /etc/selinux/targeted/active/modules/100/apcupsd/cil (Permission denied)
missing     /etc/selinux/targeted/active/modules/100/apcupsd/hll (Permission denied)
missing     /etc/selinux/targeted/active/modules/100/apcupsd/lang_ext (Permission denied)
missing     /etc/selinux/targeted/active/modules/100/apm (Permission denied)
missing     /etc/selinux/targeted/active/modules/100/apm/cil (Permission denied)
missing     /etc/selinux/targeted/active/modules/100/apm/hll (Permission denied)
missing     /etc/selinux/targeted/active/modules/100/apm/lang_ext (Permission denied)
missing     /etc/selinux/targeted/active/modules/100/application (Permission denied)
missing     /etc/selinux/targeted/active/modules/100/application/cil (Permission denied)
missing     /etc/selinux/targeted/active/modules/100/application/hll (Permission denied)
missing     /etc/selinux/targeted/active/modules/100/application/lang_ext (Permission denied)
missing     /etc/selinux/targeted/active/modules/100/arpwatch (Permission denied)
missing     /etc/selinux/targeted/active/modules/100/arpwatch/cil (Permission denied)
missing     /etc/selinux/targeted/active/modules/100/arpwatch/hll (Permission denied)
missing     /etc/selinux/targeted/active/modules/100/arpwatch/lang_ext (Permission denied)
missing     /etc/selinux/targeted/active/modules/100/asterisk (Permission denied)
missing     /etc/selinux/targeted/active/modules/100/asterisk/cil (Permission denied)
missing     /etc/selinux/targeted/active/modules/100/asterisk/hll (Permission denied)
missing     /etc/selinux/targeted/active/modules/100/asterisk/lang_ext (Permission denied)
missing     /etc/selinux/targeted/active/modules/100/auditadm (Permission denied)
missing     /etc/selinux/targeted/active/modules/100/auditadm/cil (Permission denied)
missing     /etc/selinux/targeted/active/modules/100/auditadm/hll (Permission denied)
missing     /etc/selinux/targeted/active/modules/100/auditadm/lang_ext (Permission denied)
missing     /etc/selinux/targeted/active/modules/100/authconfig (Permission denied)
missing     /etc/selinux/targeted/active/modules/100/authconfig/cil (Permission denied)
missing     /etc/selinux/targeted/active/modules/100/authconfig/hll (Permission denied)
missing     /etc/selinux/targeted/active/modules/100/authconfig/lang_ext (Permission denied)
missing     /etc/selinux/targeted/active/modules/100/authlogin (Permission denied)
missing     /etc/selinux/targeted/active/modules/100/authlogin/cil (Permission denied)
missing     /etc/selinux/targeted/active/modules/100/authlogin/hll (Permission denied)
missing     /etc/selinux/targeted/active/modules/100/authlogin/lang_ext (Permission denied)
missing     /etc/selinux/targeted/active/modules/100/automount (Permission denied)
missing     /etc/selinux/targeted/active/modules/100/automount/cil (Permission denied)
missing     /etc/selinux/targeted/active/modules/100/automount/hll (Permission denied)
missing     /etc/selinux/targeted/active/modules/100/automount/lang_ext (Permission denied)
missing     /etc/selinux/targeted/active/modules/100/avahi (Permission denied)
missing     /etc/selinux/targeted/active/modules/100/avahi/cil (Permission denied)
missing     /etc/selinux/targeted/active/modules/100/avahi/hll (Permission denied)
missing     /etc/selinux/targeted/active/modules/100/avahi/lang_ext (Permission denied)
missing     /etc/selinux/targeted/active/modules/100/awstats (Permission denied)
missing     /etc/selinux/targeted/active/modules/100/awstats/cil (Permission denied)
missing     /etc/selinux/targeted/active/modules/100/awstats/hll (Permission denied)
missing     /etc/selinux/targeted/active/modules/100/awstats/lang_ext (Permission denied)
missing     /etc/selinux/targeted/active/modules/100/bacula (Permission denied)
missing     /etc/selinux/targeted/active/modules/100/bacula/cil (Permission denied)
missing     /etc/selinux/targeted/active/modules/100/bacula/hll (Permission denied)
missing     /etc/selinux/targeted/active/modules/100/bacula/lang_ext (Permission denied)
missing     /etc/selinux/targeted/active/modules/100/base (Permission denied)
missing     /etc/selinux/targeted/active/modules/100/base/cil (Permission denied)
missing     /etc/selinux/targeted/active/modules/100/base/hll (Permission denied)
missing     /etc/selinux/targeted/active/modules/100/base/lang_ext (Permission denied)
missing     /etc/selinux/targeted/active/modules/100/bcfg2 (Permission denied)
missing     /etc/selinux/targeted/active/modules/100/bcfg2/cil (Permission denied)
missing     /etc/selinux/targeted/active/modules/100/bcfg2/hll (Permission denied)
missing     /etc/selinux/targeted/active/modules/100/bcfg2/lang_ext (Permission denied)
missing     /etc/selinux/targeted/active/modules/100/bind (Permission denied)
missing     /etc/selinux/targeted/active/modules/100/bind/cil (Permission denied)
missing     /etc/selinux/targeted/active/modules/100/bind/hll (Permission denied)
missing     /etc/selinux/targeted/active/modules/100/bind/lang_ext (Permission denied)
missing     /etc/selinux/targeted/active/modules/100/bitlbee (Permission denied)
missing     /etc/selinux/targeted/active/modules/100/bitlbee/cil (Permission denied)
missing     /etc/selinux/targeted/active/modules/100/bitlbee/hll (Permission denied)
missing     /etc/selinux/targeted/active/modules/100/bitlbee/lang_ext (Permission denied)
missing     /etc/selinux/targeted/active/modules/100/blkmapd (Permission denied)
missing     /etc/selinux/targeted/active/modules/100/blkmapd/cil (Permission denied)
missing     /etc/selinux/targeted/active/modules/100/blkmapd/hll (Permission denied)
missing     /etc/selinux/targeted/active/modules/100/blkmapd/lang_ext (Permission denied)
missing     /etc/selinux/targeted/active/modules/100/blueman (Permission denied)
missing     /etc/selinux/targeted/active/modules/100/blueman/cil (Permission denied)
missing     /etc/selinux/targeted/active/modules/100/blueman/hll (Permission denied)
missing     /etc/selinux/targeted/active/modules/100/blueman/lang_ext (Permission denied)
missing     /etc/selinux/targeted/active/modules/100/bluetooth (Permission denied)
missing     /etc/selinux/targeted/active/modules/100/bluetooth/cil (Permission denied)
missing     /etc/selinux/targeted/active/modules/100/bluetooth/hll (Permission denied)
missing     /etc/selinux/targeted/active/modules/100/bluetooth/lang_ext (Permission denied)
missing     /etc/selinux/targeted/active/modules/100/boinc (Permission denied)
missing     /etc/selinux/targeted/active/modules/100/boinc/cil (Permission denied)
missing     /etc/selinux/targeted/active/modules/100/boinc/hll (Permission denied)
missing     /etc/selinux/targeted/active/modules/100/boinc/lang_ext (Permission denied)
missing     /etc/selinux/targeted/active/modules/100/boltd (Permission denied)
missing     /etc/selinux/targeted/active/modules/100/boltd/cil (Permission denied)
missing     /etc/selinux/targeted/active/modules/100/boltd/hll (Permission denied)
missing     /etc/selinux/targeted/active/modules/100/boltd/lang_ext (Permission denied)
missing     /etc/selinux/targeted/active/modules/100/bootloader (Permission denied)
missing     /etc/selinux/targeted/active/modules/100/bootloader/cil (Permission denied)
missing     /etc/selinux/targeted/active/modules/100/bootloader/hll (Permission denied)
missing     /etc/selinux/targeted/active/modules/100/bootloader/lang_ext (Permission denied)
missing     /etc/selinux/targeted/active/modules/100/brctl (Permission denied)
missing     /etc/selinux/targeted/active/modules/100/brctl/cil (Permission denied)
missing     /etc/selinux/targeted/active/modules/100/brctl/hll (Permission denied)
missing     /etc/selinux/targeted/active/modules/100/brctl/lang_ext (Permission denied)
missing     /etc/selinux/targeted/active/modules/100/brltty (Permission denied)
missing     /etc/selinux/targeted/active/modules/100/brltty/cil (Permission denied)
missing     /etc/selinux/targeted/active/modules/100/brltty/hll (Permission denied)
missing     /etc/selinux/targeted/active/modules/100/brltty/lang_ext (Permission denied)
missing     /etc/selinux/targeted/active/modules/100/bugzilla (Permission denied)
missing     /etc/selinux/targeted/active/modules/100/bugzilla/cil (Permission denied)
missing     /etc/selinux/targeted/active/modules/100/bugzilla/hll (Permission denied)
missing     /etc/selinux/targeted/active/modules/100/bugzilla/lang_ext (Permission denied)
missing     /etc/selinux/targeted/active/modules/100/bumblebee (Permission denied)
missing     /etc/selinux/targeted/active/modules/100/bumblebee/cil (Permission denied)
missing     /etc/selinux/targeted/active/modules/100/bumblebee/hll (Permission denied)
missing     /etc/selinux/targeted/active/modules/100/bumblebee/lang_ext (Permission denied)
missing     /etc/selinux/targeted/active/modules/100/cachefilesd (Permission denied)
missing     /etc/selinux/targeted/active/modules/100/cachefilesd/cil (Permission denied)
missing     /etc/selinux/targeted/active/modules/100/cachefilesd/hll (Permission denied)
missing     /etc/selinux/targeted/active/modules/100/cachefilesd/lang_ext (Permission denied)
missing     /etc/selinux/targeted/active/modules/100/calamaris (Permission denied)
missing     /etc/selinux/targeted/active/modules/100/calamaris/cil (Permission denied)
missing     /etc/selinux/targeted/active/modules/100/calamaris/hll (Permission denied)
missing     /etc/selinux/targeted/active/modules/100/calamaris/lang_ext (Permission denied)
missing     /etc/selinux/targeted/active/modules/100/callweaver (Permission denied)
missing     /etc/selinux/targeted/active/modules/100/callweaver/cil (Permission denied)
missing     /etc/selinux/targeted/active/modules/100/callweaver/hll (Permission denied)
missing     /etc/selinux/targeted/active/modules/100/callweaver/lang_ext (Permission denied)
missing     /etc/selinux/targeted/active/modules/100/canna (Permission denied)
missing     /etc/selinux/targeted/active/modules/100/canna/cil (Permission denied)
missing     /etc/selinux/targeted/active/modules/100/canna/hll (Permission denied)
missing     /etc/selinux/targeted/active/modules/100/canna/lang_ext (Permission denied)
missing     /etc/selinux/targeted/active/modules/100/ccs (Permission denied)
missing     /etc/selinux/targeted/active/modules/100/ccs/cil (Permission denied)
missing     /etc/selinux/targeted/active/modules/100/ccs/hll (Permission denied)
missing     /etc/selinux/targeted/active/modules/100/ccs/lang_ext (Permission denied)
missing     /etc/selinux/targeted/active/modules/100/cdrecord (Permission denied)
missing     /etc/selinux/targeted/active/modules/100/cdrecord/cil (Permission denied)
missing     /etc/selinux/targeted/active/modules/100/cdrecord/hll (Permission denied)
missing     /etc/selinux/targeted/active/modules/100/cdrecord/lang_ext (Permission denied)
missing     /etc/selinux/targeted/active/modules/100/certmaster (Permission denied)
missing     /etc/selinux/targeted/active/modules/100/certmaster/cil (Permission denied)
missing     /etc/selinux/targeted/active/modules/100/certmaster/hll (Permission denied)
missing     /etc/selinux/targeted/active/modules/100/certmaster/lang_ext (Permission denied)
missing     /etc/selinux/targeted/active/modules/100/certmonger (Permission denied)
missing     /etc/selinux/targeted/active/modules/100/certmonger/cil (Permission denied)
missing     /etc/selinux/targeted/active/modules/100/certmonger/hll (Permission denied)
missing     /etc/selinux/targeted/active/modules/100/certmonger/lang_ext (Permission denied)
missing     /etc/selinux/targeted/active/modules/100/certwatch (Permission denied)
missing     /etc/selinux/targeted/active/modules/100/certwatch/cil (Permission denied)
missing     /etc/selinux/targeted/active/modules/100/certwatch/hll (Permission denied)
missing     /etc/selinux/targeted/active/modules/100/certwatch/lang_ext (Permission denied)
missing     /etc/selinux/targeted/active/modules/100/cfengine (Permission denied)
missing     /etc/selinux/targeted/active/modules/100/cfengine/cil (Permission denied)
missing     /etc/selinux/targeted/active/modules/100/cfengine/hll (Permission denied)
missing     /etc/selinux/targeted/active/modules/100/cfengine/lang_ext (Permission denied)
missing     /etc/selinux/targeted/active/modules/100/cgdcbxd (Permission denied)
missing     /etc/selinux/targeted/active/modules/100/cgdcbxd/cil (Permission denied)
missing     /etc/selinux/targeted/active/modules/100/cgdcbxd/hll (Permission denied)
missing     /etc/selinux/targeted/active/modules/100/cgdcbxd/lang_ext (Permission denied)
missing     /etc/selinux/targeted/active/modules/100/cgroup (Permission denied)
missing     /etc/selinux/targeted/active/modules/100/cgroup/cil (Permission denied)
missing     /etc/selinux/targeted/active/modules/100/cgroup/hll (Permission denied)
missing     /etc/selinux/targeted/active/modules/100/cgroup/lang_ext (Permission denied)
missing     /etc/selinux/targeted/active/modules/100/chrome (Permission denied)
missing     /etc/selinux/targeted/active/modules/100/chrome/cil (Permission denied)
missing     /etc/selinux/targeted/active/modules/100/chrome/hll (Permission denied)
missing     /etc/selinux/targeted/active/modules/100/chrome/lang_ext (Permission denied)
missing     /etc/selinux/targeted/active/modules/100/chronyd (Permission denied)
missing     /etc/selinux/targeted/active/modules/100/chronyd/cil (Permission denied)
missing     /etc/selinux/targeted/active/modules/100/chronyd/hll (Permission denied)
missing     /etc/selinux/targeted/active/modules/100/chronyd/lang_ext (Permission denied)
missing     /etc/selinux/targeted/active/modules/100/cinder (Permission denied)
missing     /etc/selinux/targeted/active/modules/100/cinder/cil (Permission denied)
missing     /etc/selinux/targeted/active/modules/100/cinder/hll (Permission denied)
missing     /etc/selinux/targeted/active/modules/100/cinder/lang_ext (Permission denied)
missing     /etc/selinux/targeted/active/modules/100/cipe (Permission denied)
missing     /etc/selinux/targeted/active/modules/100/cipe/cil (Permission denied)
missing     /etc/selinux/targeted/active/modules/100/cipe/hll (Permission denied)
missing     /etc/selinux/targeted/active/modules/100/cipe/lang_ext (Permission denied)
missing     /etc/selinux/targeted/active/modules/100/clock (Permission denied)
missing     /etc/selinux/targeted/active/modules/100/clock/cil (Permission denied)
missing     /etc/selinux/targeted/active/modules/100/clock/hll (Permission denied)
missing     /etc/selinux/targeted/active/modules/100/clock/lang_ext (Permission denied)
missing     /etc/selinux/targeted/active/modules/100/clogd (Permission denied)
missing     /etc/selinux/targeted/active/modules/100/clogd/cil (Permission denied)
missing     /etc/selinux/targeted/active/modules/100/clogd/hll (Permission denied)
missing     /etc/selinux/targeted/active/modules/100/clogd/lang_ext (Permission denied)
missing     /etc/selinux/targeted/active/modules/100/cloudform (Permission denied)
missing     /etc/selinux/targeted/active/modules/100/cloudform/cil (Permission denied)
missing     /etc/selinux/targeted/active/modules/100/cloudform/hll (Permission denied)
missing     /etc/selinux/targeted/active/modules/100/cloudform/lang_ext (Permission denied)
missing     /etc/selinux/targeted/active/modules/100/cmirrord (Permission denied)
missing     /etc/selinux/targeted/active/modules/100/cmirrord/cil (Permission denied)
missing     /etc/selinux/targeted/active/modules/100/cmirrord/hll (Permission denied)
missing     /etc/selinux/targeted/active/modules/100/cmirrord/lang_ext (Permission denied)
missing     /etc/selinux/targeted/active/modules/100/cobbler (Permission denied)
missing     /etc/selinux/targeted/active/modules/100/cobbler/cil (Permission denied)
missing     /etc/selinux/targeted/active/modules/100/cobbler/hll (Permission denied)
missing     /etc/selinux/targeted/active/modules/100/cobbler/lang_ext (Permission denied)
missing     /etc/selinux/targeted/active/modules/100/cockpit (Permission denied)
missing     /etc/selinux/targeted/active/modules/100/cockpit/cil (Permission denied)
missing     /etc/selinux/targeted/active/modules/100/cockpit/hll (Permission denied)
missing     /etc/selinux/targeted/active/modules/100/cockpit/lang_ext (Permission denied)
missing     /etc/selinux/targeted/active/modules/100/collectd (Permission denied)
missing     /etc/selinux/targeted/active/modules/100/collectd/cil (Permission denied)
missing     /etc/selinux/targeted/active/modules/100/collectd/hll (Permission denied)
missing     /etc/selinux/targeted/active/modules/100/collectd/lang_ext (Permission denied)
missing     /etc/selinux/targeted/active/modules/100/colord (Permission denied)
missing     /etc/selinux/targeted/active/modules/100/colord/cil (Permission denied)
missing     /etc/selinux/targeted/active/modules/100/colord/hll (Permission denied)
missing     /etc/selinux/targeted/active/modules/100/colord/lang_ext (Permission denied)
missing     /etc/selinux/targeted/active/modules/100/comsat (Permission denied)
missing     /etc/selinux/targeted/active/modules/100/comsat/cil (Permission denied)
missing     /etc/selinux/targeted/active/modules/100/comsat/hll (Permission denied)
missing     /etc/selinux/targeted/active/modules/100/comsat/lang_ext (Permission denied)
missing     /etc/selinux/targeted/active/modules/100/condor (Permission denied)
missing     /etc/selinux/targeted/active/modules/100/condor/cil (Permission denied)
missing     /etc/selinux/targeted/active/modules/100/condor/hll (Permission denied)
missing     /etc/selinux/targeted/active/modules/100/condor/lang_ext (Permission denied)
missing     /etc/selinux/targeted/active/modules/100/conman (Permission denied)
missing     /etc/selinux/targeted/active/modules/100/conman/cil (Permission denied)
missing     /etc/selinux/targeted/active/modules/100/conman/hll (Permission denied)
missing     /etc/selinux/targeted/active/modules/100/conman/lang_ext (Permission denied)
missing     /etc/selinux/targeted/active/modules/100/consolekit (Permission denied)
missing     /etc/selinux/targeted/active/modules/100/consolekit/cil (Permission denied)
missing     /etc/selinux/targeted/active/modules/100/consolekit/hll (Permission denied)
missing     /etc/selinux/targeted/active/modules/100/consolekit/lang_ext (Permission denied)
missing     /etc/selinux/targeted/active/modules/100/container (Permission denied)
missing     /etc/selinux/targeted/active/modules/100/container/cil (Permission denied)
missing     /etc/selinux/targeted/active/modules/100/container/hll (Permission denied)
missing     /etc/selinux/targeted/active/modules/100/container/lang_ext (Permission denied)
missing     /etc/selinux/targeted/active/modules/100/couchdb (Permission denied)
missing     /etc/selinux/targeted/active/modules/100/couchdb/cil (Permission denied)
missing     /etc/selinux/targeted/active/modules/100/couchdb/hll (Permission denied)
missing     /etc/selinux/targeted/active/modules/100/couchdb/lang_ext (Permission denied)
missing     /etc/selinux/targeted/active/modules/100/courier (Permission denied)
missing     /etc/selinux/targeted/active/modules/100/courier/cil (Permission denied)
missing     /etc/selinux/targeted/active/modules/100/courier/hll (Permission denied)
missing     /etc/selinux/targeted/active/modules/100/courier/lang_ext (Permission denied)
missing     /etc/selinux/targeted/active/modules/100/cpucontrol (Permission denied)
missing     /etc/selinux/targeted/active/modules/100/cpucontrol/cil (Permission denied)
missing     /etc/selinux/targeted/active/modules/100/cpucontrol/hll (Permission denied)
missing     /etc/selinux/targeted/active/modules/100/cpucontrol/lang_ext (Permission denied)
missing     /etc/selinux/targeted/active/modules/100/cpufreqselector (Permission denied)
missing     /etc/selinux/targeted/active/modules/100/cpufreqselector/cil (Permission denied)
missing     /etc/selinux/targeted/active/modules/100/cpufreqselector/hll (Permission denied)
missing     /etc/selinux/targeted/active/modules/100/cpufreqselector/lang_ext (Permission denied)
missing     /etc/selinux/targeted/active/modules/100/cpuplug (Permission denied)
missing     /etc/selinux/targeted/active/modules/100/cpuplug/cil (Permission denied)
missing     /etc/selinux/targeted/active/modules/100/cpuplug/hll (Permission denied)
missing     /etc/selinux/targeted/active/modules/100/cpuplug/lang_ext (Permission denied)
missing     /etc/selinux/targeted/active/modules/100/cron (Permission denied)
missing     /etc/selinux/targeted/active/modules/100/cron/cil (Permission denied)
missing     /etc/selinux/targeted/active/modules/100/cron/hll (Permission denied)
missing     /etc/selinux/targeted/active/modules/100/cron/lang_ext (Permission denied)
missing     /etc/selinux/targeted/active/modules/100/ctdb (Permission denied)
missing     /etc/selinux/targeted/active/modules/100/ctdb/cil (Permission denied)
missing     /etc/selinux/targeted/active/modules/100/ctdb/hll (Permission denied)
missing     /etc/selinux/targeted/active/modules/100/ctdb/lang_ext (Permission denied)
missing     /etc/selinux/targeted/active/modules/100/cups (Permission denied)
missing     /etc/selinux/targeted/active/modules/100/cups/cil (Permission denied)
missing     /etc/selinux/targeted/active/modules/100/cups/hll (Permission denied)
missing     /etc/selinux/targeted/active/modules/100/cups/lang_ext (Permission denied)
missing     /etc/selinux/targeted/active/modules/100/cvs (Permission denied)
missing     /etc/selinux/targeted/active/modules/100/cvs/cil (Permission denied)
missing     /etc/selinux/targeted/active/modules/100/cvs/hll (Permission denied)
missing     /etc/selinux/targeted/active/modules/100/cvs/lang_ext (Permission denied)
missing     /etc/selinux/targeted/active/modules/100/cyphesis (Permission denied)
missing     /etc/selinux/targeted/active/modules/100/cyphesis/cil (Permission denied)
missing     /etc/selinux/targeted/active/modules/100/cyphesis/hll (Permission denied)
missing     /etc/selinux/targeted/active/modules/100/cyphesis/lang_ext (Permission denied)
missing     /etc/selinux/targeted/active/modules/100/cyrus (Permission denied)
missing     /etc/selinux/targeted/active/modules/100/cyrus/cil (Permission denied)
missing     /etc/selinux/targeted/active/modules/100/cyrus/hll (Permission denied)
missing     /etc/selinux/targeted/active/modules/100/cyrus/lang_ext (Permission denied)
missing     /etc/selinux/targeted/active/modules/100/daemontools (Permission denied)
missing     /etc/selinux/targeted/active/modules/100/daemontools/cil (Permission denied)
missing     /etc/selinux/targeted/active/modules/100/daemontools/hll (Permission denied)
missing     /etc/selinux/targeted/active/modules/100/daemontools/lang_ext (Permission denied)
missing     /etc/selinux/targeted/active/modules/100/dbadm (Permission denied)
missing     /etc/selinux/targeted/active/modules/100/dbadm/cil (Permission denied)
missing     /etc/selinux/targeted/active/modules/100/dbadm/hll (Permission denied)
missing     /etc/selinux/targeted/active/modules/100/dbadm/lang_ext (Permission denied)
missing     /etc/selinux/targeted/active/modules/100/dbskk (Permission denied)
missing     /etc/selinux/targeted/active/modules/100/dbskk/cil (Permission denied)
missing     /etc/selinux/targeted/active/modules/100/dbskk/hll (Permission denied)
missing     /etc/selinux/targeted/active/modules/100/dbskk/lang_ext (Permission denied)
missing     /etc/selinux/targeted/active/modules/100/dbus (Permission denied)
missing     /etc/selinux/targeted/active/modules/100/dbus/cil (Permission denied)
missing     /etc/selinux/targeted/active/modules/100/dbus/hll (Permission denied)
missing     /etc/selinux/targeted/active/modules/100/dbus/lang_ext (Permission denied)
missing     /etc/selinux/targeted/active/modules/100/dcc (Permission denied)
missing     /etc/selinux/targeted/active/modules/100/dcc/cil (Permission denied)
missing     /etc/selinux/targeted/active/modules/100/dcc/hll (Permission denied)
missing     /etc/selinux/targeted/active/modules/100/dcc/lang_ext (Permission denied)
missing     /etc/selinux/targeted/active/modules/100/ddclient (Permission denied)
missing     /etc/selinux/targeted/active/modules/100/ddclient/cil (Permission denied)
missing     /etc/selinux/targeted/active/modules/100/ddclient/hll (Permission denied)
missing     /etc/selinux/targeted/active/modules/100/ddclient/lang_ext (Permission denied)
missing     /etc/selinux/targeted/active/modules/100/denyhosts (Permission denied)
missing     /etc/selinux/targeted/active/modules/100/denyhosts/cil (Permission denied)
missing     /etc/selinux/targeted/active/modules/100/denyhosts/hll (Permission denied)
missing     /etc/selinux/targeted/active/modules/100/denyhosts/lang_ext (Permission denied)
missing     /etc/selinux/targeted/active/modules/100/devicekit (Permission denied)
missing     /etc/selinux/targeted/active/modules/100/devicekit/cil (Permission denied)
missing     /etc/selinux/targeted/active/modules/100/devicekit/hll (Permission denied)
missing     /etc/selinux/targeted/active/modules/100/devicekit/lang_ext (Permission denied)
missing     /etc/selinux/targeted/active/modules/100/dhcp (Permission denied)
missing     /etc/selinux/targeted/active/modules/100/dhcp/cil (Permission denied)
missing     /etc/selinux/targeted/active/modules/100/dhcp/hll (Permission denied)
missing     /etc/selinux/targeted/active/modules/100/dhcp/lang_ext (Permission denied)
missing     /etc/selinux/targeted/active/modules/100/dictd (Permission denied)
missing     /etc/selinux/targeted/active/modules/100/dictd/cil (Permission denied)
missing     /etc/selinux/targeted/active/modules/100/dictd/hll (Permission denied)
missing     /etc/selinux/targeted/active/modules/100/dictd/lang_ext (Permission denied)
missing     /etc/selinux/targeted/active/modules/100/dirsrv (Permission denied)
missing     /etc/selinux/targeted/active/modules/100/dirsrv-admin (Permission denied)
missing     /etc/selinux/targeted/active/modules/100/dirsrv-admin/cil (Permission denied)
missing     /etc/selinux/targeted/active/modules/100/dirsrv-admin/hll (Permission denied)
missing     /etc/selinux/targeted/active/modules/100/dirsrv-admin/lang_ext (Permission denied)
missing     /etc/selinux/targeted/active/modules/100/dirsrv/cil (Permission denied)
missing     /etc/selinux/targeted/active/modules/100/dirsrv/hll (Permission denied)
missing     /etc/selinux/targeted/active/modules/100/dirsrv/lang_ext (Permission denied)
missing     /etc/selinux/targeted/active/modules/100/dmesg (Permission denied)
missing     /etc/selinux/targeted/active/modules/100/dmesg/cil (Permission denied)
missing     /etc/selinux/targeted/active/modules/100/dmesg/hll (Permission denied)
missing     /etc/selinux/targete</t>
  </si>
  <si>
    <t>cmd: rpm -Va --nomtime --nosize --nomd5 --nolinkto --noconfig --noghost | /bin/awk '{ print } END { if (NR==0) print "none" }'
expect: ^none$</t>
  </si>
  <si>
    <t>The RPM Package Manager has a number of useful options. One of these, the -V for RPM option, can be used to verify that system packages are correctly installed. The -V option can be used to verify a particular package or to verify all system packages. If no output is returned, the package is installed correctly. The following table describes the meaning of output from the verify option:
Code Meaning
S File size differs.
M File mode differs (includes permissions and file type).
5 digest (formerly MD5 sum) differs.
D Device file major/minor number mismatch.
L readLink(2) path mismatch.
U User ownership differs.
G Group ownership differs.
T The file time (mtime) differs.
P Capabilities differ.
The rpm -qf command can be used to determine which package a particular file belongs to. For example, the following commands determines which package the /bin/bash file belongs to:
# rpm -qf /bin/bash
bash-4.4.19-2.fc28.x86_64
To verify the settings for the package that controls the /bin/bash file, run the following:
# rpm -V bash-4.4.19-2.fc28.x86_64
.M....... /bin/bash
# rpm --verify bash
??5?????? c /etc/bash.bashrc
Note that you can feed the output of the rpm -qf command to the rpm -V command:
# rpm -V `rpm -qf /etc/passwd`
.M...... c /etc/passwd
S.5....T c /etc/printcap
The rpm -qi command can be used to display package information, including name, version, and description. Following example displays information for bash package:
# rpm -qi bash
Name : bash
Version : 4.4.19
Release : 2.fc28
Architecture: x86_64
Install Date: Tue 15 Aug 2023 10:27:28 AM EDT
Group : Unspecified
Size : 6910653
License : GPLv3+
Signature : RSA/SHA256, Thu 15 Mar 2018 10:10:10 AM EDT, Key ID e08e7e629db62fb1
Source RPM : bash-4.4.19-2.fc28.src.rpm
Build Date : Thu 15 Mar 2018 10:01:10 AM EDT
Build Host : buildhw-07.phx2.fedoraproject.org
Relocations : (not relocatable)
Packager : Fedora Project
Vendor : Fedora Project
URL : https://www.gnu.org/software/bash
Bug URL : https://bugz.fedoraproject.org/bash
Summary : The GNU Bourne Again shell
Description :
The GNU Bourne Again shell (Bash) is a shell or command language
interpreter that is compatible with the Bourne shell (sh). Bash
incorporates useful features from the Korn shell (ksh) and the C shell
(csh). Most sh scripts can be run by bash without modification.
It is important to confirm that packaged system files and directories are maintained with the permissions they were intended to have from the OS vendor.
NOTE: Nessus has provided the target output to assist in reviewing the benchmark to ensure target compliance.</t>
  </si>
  <si>
    <t>Correct any discrepancies found and rerun the audit until output is clean or risk is mitigated or accepted.</t>
  </si>
  <si>
    <t>800-171|3.1.1, 800-171|3.1.4, 800-171|3.1.5, 800-171|3.8.1, 800-171|3.8.2, 800-171|3.8.3, 800-53|AC-3, 800-53|AC-5, 800-53|AC-6, 800-53|MP-2, 800-53r5|AC-3, 800-53r5|AC-5, 800-53r5|AC-6, 800-53r5|MP-2, CN-L3|7.1.3.2(b), CN-L3|7.1.3.2(g), CN-L3|8.1.4.2(d), CN-L3|8.1.4.2(f), CN-L3|8.1.4.11(b), CN-L3|8.1.10.2(c), CN-L3|8.1.10.6(a), CN-L3|8.5.3.1, CN-L3|8.5.4.1(a), CSCv7|14.6, CSCv8|3.3, CSF|PR.AC-4, CSF|PR.DS-5, CSF|PR.PT-2, CSF|PR.PT-3, CSF2.0|PR.AA-05, CSF2.0|PR.DS-10, CSF2.0|PR.IR-01, GDPR|32.1.b, HIPAA|164.306(a)(1), HIPAA|164.312(a)(1), ISO/IEC-27001|A.6.1.2, ISO/IEC-27001|A.9.4.1, ISO/IEC-27001|A.9.4.5, ITSG-33|AC-3, ITSG-33|AC-5, ITSG-33|AC-6, ITSG-33|MP-2, ITSG-33|MP-2a., LEVEL|2M,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</si>
  <si>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4.3.4 Ensure users must provide password for escalation</t>
  </si>
  <si>
    <t>ERROR</t>
  </si>
  <si>
    <t>The operating system must be configured so that users must provide a password for privilege escalation.
Without re-authentication, users may access resources or perform tasks for which they do not have authorization.
When operating systems provide the capability to escalate a functional capability, it is critical the user re-authenticate.</t>
  </si>
  <si>
    <t>Based on the outcome of the audit procedure, use visudo -f &lt;PATH TO FILE&gt; to edit the relevant sudoers file.
Remove any line with occurrences of NOPASSWD tags in the file.
Impact:
This will prevent automated processes from being able to elevate privileges. To include Ansible and AWS builds</t>
  </si>
  <si>
    <t>800-171|3.1.5, 800-171|3.1.6, 800-53|AC-6(2), 800-53|AC-6(5), 800-53r5|AC-6(2), 800-53r5|AC-6(5), CN-L3|7.1.3.2(b), CN-L3|7.1.3.2(g), CN-L3|8.1.4.2(d), CN-L3|8.1.10.6(a), CSCv7|4.3, CSCv8|5.4, CSF|PR.AC-4, CSF2.0|PR.AA-05, GDPR|32.1.b, HIPAA|164.306(a)(1), HIPAA|164.312(a)(1), ISO/IEC-27001|A.9.2.3, ITSG-33|AC-6(2), ITSG-33|AC-6(5), LEVEL|2A, NESA|T5.1.1, NESA|T5.2.2, NESA|T5.6.1, NIAv2|AM1, NIAv2|AM23f, NIAv2|AM32, NIAv2|AM33, NIAv2|SS13c, NIAv2|SS15c, NIAv2|VL3a, PCI-DSSv3.2.1|7.1.2, PCI-DSSv4.0|7.2.1, PCI-DSSv4.0|7.2.2, QCSC-v1|5.2.2, QCSC-v1|6.2, SWIFT-CSCv1|1.2, SWIFT-CSCv1|5.1, TBA-FIISB|31.4.2, TBA-FIISB|31.4.3</t>
  </si>
  <si>
    <t>6.1.13 Ensure SUID and SGID files are reviewed</t>
  </si>
  <si>
    <t>The following 27 files are SUID or SGID:
  /usr/bin/wall
     owner: root, group: tty, permissions: 2555
  /usr/bin/fusermount
     owner: root, group: fuse, permissions: 4750
  /usr/bin/chfn
     owner: root, group: root, permissions: 4711
  /usr/bin/chsh
     owner: root, group: root, permissions: 4711
  /usr/bin/chage
     owner: root, group: root, permissions: 4755
  /usr/bin/gpasswd
     owner: root, group: root, permissions: 4755
  /usr/bin/newgrp
     owner: root, group: root, permissions: 4755
  /usr/bin/mount
     owner: root, group: root, permissions: 4755
  /usr/bin/su
     owner: root, group: root, permissions: 4755
  /usr/bin/umount
     owner: root, group: root, permissions: 4755
  /usr/bin/passwd
     owner: root, group: root, permissions: 4755
  /usr/bin/write
     owner: root, group: tty, permissions: 2755
  /usr/bin/sudo
     owner: root, group: root, permissions: 4111
  /usr/bin/pkexec
     owner: root, group: root, permissions: 4755
  /usr/bin/crontab
     owner: root, group: root, permissions: 4755
  /usr/bin/ssh-agent
     owner: root, group: nobody, permissions: 2111
  /usr/sbin/unix_chkpwd
     owner: root, group: root, permissions: 4755
  /usr/sbin/pam_timestamp_check
     owner: root, group: root, permissions: 4755
  /usr/sbin/netreport
     owner: root, group: root, permissions: 2755
  /usr/sbin/usernetctl
     owner: root, group: root, permissions: 4755
  /usr/sbin/userhelper
     owner: root, group: root, permissions: 4711
  /usr/sbin/postdrop
     owner: root, group: postdrop, permissions: 2755
  /usr/sbin/postqueue
     owner: root, group: postdrop, permissions: 2755
  /usr/lib/polkit-1/polkit-agent-helper-1
     owner: root, group: root, permissions: 4755
  /usr/libexec/utempter/utempter
     owner: root, group: utmp, permissions: 2711
  /usr/libexec/dbus-1/dbus-daemon-launch-helper
     owner: root, group: dbus, permissions: 4750
  /usr/libexec/openssh/ssh-keysign
     owner: root, group: ssh_keys, permissions: 2111</t>
  </si>
  <si>
    <t>name: find_suid_sgid_files</t>
  </si>
  <si>
    <t>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t>
  </si>
  <si>
    <t>Ensure that no rogue SUID or SGID programs have been introduced into the system. Review the files returned by the action in the Audit section and confirm the integrity of these binaries.</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</si>
  <si>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CSCv7|14.6,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LEVEL|1M,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</si>
  <si>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5.1.3 Ensure logrotate is configured</t>
  </si>
  <si>
    <t>The system includes the capability of rotating log files regularly to avoid filling up the system with logs or making the logs unmanageably large. The file /etc/logrotate.d/syslog is the configuration file used to rotate log files created by syslog or rsyslog
By keeping the log files smaller and more manageable, a system administrator can easily archive these files to another system and spend less time looking through inordinately large log files.
NOTE: Nessus has not performed this check. Please review the benchmark to ensure target compliance.</t>
  </si>
  <si>
    <t>Edit /etc/logrotate.conf and /etc/logrotate.d/* to ensure logs are rotated according to site policy.</t>
  </si>
  <si>
    <t>800-53|AU-4, 800-53r5|AU-4, CSCv7|6.4, CSCv8|8.3, CSF|PR.DS-4, CSF|PR.PT-1, GDPR|32.1.b, HIPAA|164.306(a)(1), HIPAA|164.312(b), ISO-27001-2022|A.8.6, ITSG-33|AU-4, LEVEL|1M, NESA|T3.3.1, NESA|T3.6.2, QCSC-v1|8.2.1, QCSC-v1|13.2</t>
  </si>
  <si>
    <t>4.3.7 Ensure access to the su command is restricted</t>
  </si>
  <si>
    <t>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
Restricting the use of su and using sudo in its place, provides system administrators better control of the escalation of user privileges to execute privileged commands. The sudo utility also provides a better logging and audit mechanism, as it can log each command executed via sudo whereas su can only record that a user executed the su program.</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</si>
  <si>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</si>
  <si>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CSCv7|5.1,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</si>
  <si>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4.3.5 Ensure re-authentication for privilege escalation is not disabled globally</t>
  </si>
  <si>
    <t>The operating system must be configured so that users must re-authenticate for privilege escalation.
Without re-authentication, users may access resources or perform tasks for which they do not have authorization.
When operating systems provide the capability to escalate a functional capability, it is critical the user re-authenticate.</t>
  </si>
  <si>
    <t>Configure the operating system to require users to reauthenticate for privilege escalation.
Based on the outcome of the audit procedure, use visudo -f &lt;PATH TO FILE&gt; to edit the relevant sudoers file.
Remove any occurrences of !authenticate tags in the file(s).</t>
  </si>
  <si>
    <t>4.3.3 Ensure sudo log file exists</t>
  </si>
  <si>
    <t>The Defaults logfile entry sets the path to the sudo log file. Setting a path turns on logging to a file; negating this option turns it off. By default, sudo logs via syslog.
Defining a dedicated log file for sudo simplifies auditing of sudo commands and creation of auditd rules for sudo.</t>
  </si>
  <si>
    <t>Edit the file /etc/sudoers or a file in /etc/sudoers.d/ with visudo or visudo -f &lt;PATH TO FILE&gt; and add the following line:
Defaults logfile="&lt;PATH TO CUSTOM LOG FILE&gt;"
Example
Defaults logfile="/var/log/sudo.log"
Note:
 - sudo will read each file in /etc/sudoers.d skipping file names that end in ~ or contain a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Creation of additional log files can cause disk space exhaustion if not correctly managed. You should configure logrotate to manage the sudo log in accordance with your local policy.</t>
  </si>
  <si>
    <t>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</si>
  <si>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3.4.2.4 Ensure network interfaces are assigned to appropriate zone</t>
  </si>
  <si>
    <t>'The command '/bin/find /sys/class/net/* -maxdepth 1 | /bin/awk -F"/" '{print $NF}' | while read -r netint; do [ "$netint" != "lo" ] &amp;&amp; /bin/firewall-cmd --get-active-zones | /bin/grep -B1 $netint; done' returned : 
public
  interfaces: ens33</t>
  </si>
  <si>
    <t>cmd: /bin/find /sys/class/net/* -maxdepth 1 | /bin/awk -F"/" '{print $NF}' | while read -r netint; do [ "$netint" != "lo" ] &amp;&amp; /bin/firewall-cmd --get-active-zones | /bin/grep -B1 $netint; done
expect: ^Manual Review Required$
timeout: 7200</t>
  </si>
  <si>
    <t>firewall zones define the trust level of network connections or interfaces.
A network interface not assigned to the appropriate zone can allow unexpected or undesired network traffic to be accepted on the interface.
NOTE: Nessus has provided the target output to assist in reviewing the benchmark to ensure target compliance.</t>
  </si>
  <si>
    <t>Run the following command to assign an interface to the approprate zone.
# firewall-cmd --zone=&lt;Zone NAME&gt; --change-interface=&lt;INTERFACE NAME&gt;
Example:
# firewall-cmd --zone=customezone --change-interface=eth0
Impact:
Changing firewall settings while connected over network can result in being locked out of the system.</t>
  </si>
  <si>
    <t>800-171|3.13.1, 800-171|3.13.5, 800-171|3.13.6, 800-171r3|03.13.01, 800-171r3|03.13.06, 800-53|CA-9, 800-53|SC-7, 800-53|SC-7(5), 800-53r5|CA-9, 800-53r5|SC-7, 800-53r5|SC-7(5), CN-L3|7.1.2.2(c), CN-L3|8.1.10.6(j), CSCv7|9.4, CSCv8|4.4, CSF|DE.CM-1, CSF|ID.AM-3, CSF|PR.AC-5, CSF|PR.DS-5, CSF|PR.PT-4, CSF2.0|DE.CM-01, CSF2.0|ID.AM-03, CSF2.0|PR.DS-01, CSF2.0|PR.DS-02, CSF2.0|PR.DS-10, CSF2.0|PR.IR-01, GDPR|32.1.b, GDPR|32.1.d, GDPR|32.2, HIPAA|164.306(a)(1), ISO-27001-2022|A.5.14, ISO-27001-2022|A.8.16, ISO-27001-2022|A.8.20, ISO/IEC-27001|A.13.1.3, ITSG-33|SC-7, ITSG-33|SC-7(5), LEVEL|1M, NESA|T4.5.4, NIAv2|GS1, NIAv2|GS2a, NIAv2|GS2b, NIAv2|GS7b, NIAv2|NS25, PCI-DSSv3.2.1|1.1, PCI-DSSv3.2.1|1.2, PCI-DSSv3.2.1|1.2.1, PCI-DSSv3.2.1|1.3, PCI-DSSv4.0|1.2.1, PCI-DSSv4.0|1.4.1, QCSC-v1|4.2, QCSC-v1|5.2.1, QCSC-v1|5.2.2, QCSC-v1|5.2.3, QCSC-v1|6.2, QCSC-v1|8.2.1, SWIFT-CSCv1|2.1, TBA-FIISB|43.1</t>
  </si>
  <si>
    <t>3.4.2.3 Ensure firewalld drops unnecessary services and ports</t>
  </si>
  <si>
    <t>'The command '/bin/firewall-cmd --list-all --zone="$(/bin/firewall-cmd --list-all | /bin/awk '/\(active\)/ { print $1 }')" | /bin/grep -P -- '^\h*(services:|ports:)'' returned : 
Authorization failed.
    Make sure polkit agent is running or run the application as superuser.
Authorization failed.
    Make sure polkit agent is running or run the application as superuser.</t>
  </si>
  <si>
    <t>cmd: /bin/firewall-cmd --list-all --zone="$(/bin/firewall-cmd --list-all | /bin/awk '/\(active\)/ { print $1 }')" | /bin/grep -P -- '^\h*(services:|ports:)'
expect: ^Manual Review Required$</t>
  </si>
  <si>
    <t>Services and ports can be accepted or explicitly rejected or dropped by a zone.
For every zone, you can set a default behavior that handles incoming traffic that is not further specified. Such behavior is defined by setting the target of the zone. There are three options - default, ACCEPT, REJECT, and DROP.
 - ACCEPT - you accept all incoming packets except those disabled by a specific rule.
 - REJECT - you disable all incoming packets except those that you have allowed in specific rules and the source machine is informed about the rejection.
 - DROP - you disable all incoming packets except those that you have allowed in specific rules and no information sent to the source machine.
To reduce the attack surface of a system, all services and ports should be blocked unless required
NOTE: Nessus has provided the target output to assist in reviewing the benchmark to ensure target compliance.</t>
  </si>
  <si>
    <t>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</si>
  <si>
    <t>3.4.1.2 Ensure a single firewall configuration utility is in use</t>
  </si>
  <si>
    <t>The command script with multiple lines returned : 
- FirewallD is installed
   - firewalld.service is enabled
   - firewalld.service is active
 - nftables is not installed
 - iptables-services is not installed</t>
  </si>
  <si>
    <t>cmd: multiple line script
dont_echo_cmd: NO
expect: Manual Review Required</t>
  </si>
  <si>
    <t>FirewallD - Is a firewall service daemon that provides a dynamic customizable host-based firewall with a D-Bus interface. Being dynamic, it enables creating, changing, and deleting the rules without the necessity to restart the firewall daemon each time the rules are changed
NFTables - Includes the nft utility for configuration of the nftables subsystem of the Linux kernel
IPTables Services - Contains the iptables service and the ip6tables service which store their configurations in /etc/sysconfig/iptables and /etc/sysconfig/ip6tables
Note: firewalld with nftables backend does not support passing custom nftables rules to firewalld, using the --direct option.
In order to configure firewall rules, a firewall utility needs to be installed and active of the system. The use of more than one firewall utility may produce unexpected results.
NOTE: Nessus has provided the target output to assist in reviewing the benchmark to ensure target compliance.</t>
  </si>
  <si>
    <t>Determine which firewall utility to use in your environment. Ensure it also follows local site policy, and follow the guidance for that option:
OPTION 1 - FirewallD:
Run the following command to uninstall nftables and iptables-services
# yum remove nftables iptables-services
- OR - If the package is required for a dependency and is authorized by local sight policy, run the following commands to stop and mask nftables.service iptables.service and ip6tables.service :
# systemctl stop nftables.service iptables.service ip6tables.service
# systemctl mask nftables.service iptables.service ip6tables.service
Follow the guidance in subsection "Configure firewalld. Skip sections "Configure nftables" and "Configure iptables"
OPTION 2 - NFTables:
Run the following command to uninstall firewalld and iptables-services
# yum remove firewalld iptables-services
- OR - If the package is required for a dependency and is authorized by local sight policy, run the following commands to stop and mask firewalld.service iptables.service and ip6tables.service :
# systemctl stop firewalld.service iptables.service ip6tables.service
# systemctl mask firewalld.service iptables.service ip6tables.service
Follow the guidance in subsection "Configure nftables". Skip sections "Configure firewalld" and "Configure iptables"
OPTION 3 - IPTables:
Run the following command to uninstall nftables and iptables-services
# yum remove firewalld nftables
- OR - If the package is required for a dependency and is authorized by local sight policy, run the following commands to stop and mask firewalld.service and nftables.service :
# systemctl stop firewalld.service nftables.service
# systemctl mask firewalld.service nftables.service
Follow the guidance in subsection "Configure iptables" skip sections "Configure firewalld" and "Configure nftables"</t>
  </si>
  <si>
    <t>800-171|3.13.1, 800-171|3.13.5, 800-171|3.13.6, 800-171r3|03.13.01, 800-171r3|03.13.06, 800-53|CA-9, 800-53|SC-7, 800-53|SC-7(5), 800-53r5|CA-9, 800-53r5|SC-7, 800-53r5|SC-7(5), CN-L3|7.1.2.2(c), CN-L3|8.1.10.6(j), CSCv7|9.4, CSCv8|4.4, CSCv8|4.5, CSF|DE.CM-1, CSF|ID.AM-3, CSF|PR.AC-5, CSF|PR.DS-5, CSF|PR.PT-4, CSF2.0|DE.CM-01, CSF2.0|ID.AM-03, CSF2.0|PR.DS-01, CSF2.0|PR.DS-02, CSF2.0|PR.DS-10, CSF2.0|PR.IR-01, GDPR|32.1.b, GDPR|32.1.d, GDPR|32.2, HIPAA|164.306(a)(1), ISO-27001-2022|A.5.14, ISO-27001-2022|A.8.16, ISO-27001-2022|A.8.20, ISO/IEC-27001|A.13.1.3, ITSG-33|SC-7, ITSG-33|SC-7(5), LEVEL|1A, NESA|T4.5.4, NIAv2|GS1, NIAv2|GS2a, NIAv2|GS2b, NIAv2|GS7b, NIAv2|NS25, PCI-DSSv3.2.1|1.1, PCI-DSSv3.2.1|1.2, PCI-DSSv3.2.1|1.2.1, PCI-DSSv3.2.1|1.3, PCI-DSSv4.0|1.2.1, PCI-DSSv4.0|1.4.1, QCSC-v1|4.2, QCSC-v1|5.2.1, QCSC-v1|5.2.2, QCSC-v1|5.2.3, QCSC-v1|6.2, QCSC-v1|8.2.1, SWIFT-CSCv1|2.1, TBA-FIISB|43.1</t>
  </si>
  <si>
    <t>3.1.1 Ensure IPv6 status is identified</t>
  </si>
  <si>
    <t>The command '/bin/grep -Pqs '^\h*0\b' /sys/module/ipv6/parameters/disable &amp;&amp; echo -e "\n - IPv6 is enabled\n" || echo -e "\n - IPv6 is not enabled\n"' returned : 
- IPv6 is enabled</t>
  </si>
  <si>
    <t>cmd: /bin/grep -Pqs '^\h*0\b' /sys/module/ipv6/parameters/disable &amp;&amp; echo -e "\n - IPv6 is enabled\n" || echo -e "\n - IPv6 is not enabled\n"
expect: Manual Review Required</t>
  </si>
  <si>
    <t>Internet Protocol Version 6 (IPv6) is the most recent version of Internet Protocol (IP). It's designed to supply IP addressing and additional security to support the predicted growth of connected devices. IPv6 is based on 128-bit addressing and can support 340 undecillion, which is 340 trillion3 addresses.
Features of IPv6
 - Hierarchical addressing and routing infrastructure
 - Stateful and Stateless configuration
 - Support for quality of service (QoS)
 - An ideal protocol for neighboring node interaction
IETF RFC 4038 recommends that applications are built with an assumption of dual stack. It is recommended that IPv6 be enabled and configured in accordance with Benchmark recommendations.
-IF- dual stack and IPv6 are not used in your environment, IPv6 may be disabled to reduce the attack surface of the system, and recommendations pertaining to IPv6 can be skipped.
Note: It is recommended that IPv6 be enabled and configured unless this is against local site policy
NOTE: Nessus has provided the target output to assist in reviewing the benchmark to ensure target compliance.</t>
  </si>
  <si>
    <t>Enable or disable IPv6 in accordance with system requirements and local site policy
Impact:
IETF RFC 4038 recommends that applications are built with an assumption of dual stack.
When enabled, IPv6 will require additional configuration to reduce risk to the system.</t>
  </si>
  <si>
    <t>800-171|3.4.2, 800-171|3.4.6, 800-171|3.4.7, 800-171r3|03.04.02, 800-171r3|03.04.06, 800-53|CM-6, 800-53|CM-7, 800-53r5|CM-6, 800-53r5|CM-7, CSCv7|9.2, CSCv8|4.8, CSF|PR.IP-1, CSF|PR.PT-3, CSF2.0|DE.CM-09, CSF2.0|PR.PS-01, GDPR|32.1.b, HIPAA|164.306(a)(1), ISO-27001-2022|A.8.9, ITSG-33|CM-6, ITSG-33|CM-7, LEVEL|1M, NIAv2|SS15a, PCI-DSSv3.2.1|2.2.2, SWIFT-CSCv1|2.3</t>
  </si>
  <si>
    <t>2.2.22 Ensure only approved services are listening on a network interface</t>
  </si>
  <si>
    <t>The command '/sbin/ss -plntu' returned : 
Netid State  Recv-Q Send-Q       Local Address:Port   Peer Address:Port Process 
udp   UNCONN 0      0       192.168.0.75%ens33:68          0.0.0.0:*            
tcp   LISTEN 0      128                0.0.0.0:22          0.0.0.0:*            
tcp   LISTEN 0      100              127.0.0.1:25          0.0.0.0:*            
tcp   LISTEN 0      128                   [::]:22             [::]:*            
tcp   LISTEN 0      100                  [::1]:25             [::]:*</t>
  </si>
  <si>
    <t>cmd: /sbin/ss -plntu
expect: ^Manual Review Required$</t>
  </si>
  <si>
    <t>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t>
  </si>
  <si>
    <t>Run the following commands to stop the service and remove the package containing the service:
# systemctl stop &lt;service_name&gt;.socket &lt;service_name&gt;.service
# yum remove &lt;package_name&gt;
-OR-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-IF- a dependent package is required: stop and mask the &lt;service_name&gt;.socket and &lt;service_name&gt;.service leaving the service's package installed.</t>
  </si>
  <si>
    <t>2.1.3 Ensure chrony is not run as the root user</t>
  </si>
  <si>
    <t>The file /etc/sysconfig/chronyd allows configuration of options for chrony to include the user chrony is run as. By default this is set to the user chrony
Services should not be set to run as the root user</t>
  </si>
  <si>
    <t>Edit the file /etc/sysconfig/chronyd and add or modify the following line:
OPTIONS="-u chrony"
Run the following command to reload the chronyd.service configuration:
# systemctl try-reload-or-restart chronyd.service</t>
  </si>
  <si>
    <t>800-171|3.1.5, 800-171r3|03.01.05a., 800-53|AC-6, 800-53r5|AC-6, CN-L3|7.1.3.2(b), CN-L3|7.1.3.2(g), CN-L3|8.1.4.2(d), CN-L3|8.1.10.6(a), CSF|PR.AC-4, CSF|PR.DS-5,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QCSC-v1|13.2, SWIFT-CSCv1|5.1, TBA-FIISB|31.4.2, TBA-FIISB|31.4.3</t>
  </si>
  <si>
    <t>1.2.4 Ensure package manager repositories are configured</t>
  </si>
  <si>
    <t>The command '/bin/yum repolist' returned : 
Loaded plugins: ulninfo
https://yum.oracle.com/repo/OracleLinux/OL7/UEKR6/x86_64/repodata/repomd.xml.asc: [Errno 14] HTTPS Error 404 - Not Found
Trying other mirror.
https://yum.oracle.com/repo/OracleLinux/OL7/UEKR6/x86_64/repodata/repomd.xml.asc: [Errno 14] HTTPS Error 404 - Not Found
Trying other mirror.
https://yum.oracle.com/repo/OracleLinux/OL7/latest/x86_64/repodata/repomd.xml.asc: [Errno 14] HTTPS Error 404 - Not Found
Trying other mirror.
https://yum.oracle.com/repo/OracleLinux/OL7/optional/latest/x86_64/repodata/repomd.xml.asc: [Errno 14] HTTPS Error 404 - Not Found
Trying other mirror.
repo id                    repo name                                      status
ol7_UEKR6/x86_64           Latest Unbreakable Enterprise Kernel Release 6 0
ol7_latest/x86_64          Oracle Linux 7Server Latest (x86_64)           0
ol7_optional_latest/x86_64 Oracle Linux 7Server Optional Latest (x86_64)  0
repolist: 0</t>
  </si>
  <si>
    <t>cmd: /bin/yum repolist
expect: ^Manual Review Required$</t>
  </si>
  <si>
    <t>Systems need to have the respective package manager repositories configured to ensure that the system is able to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t>
  </si>
  <si>
    <t>Configure your package manager repositories according to site policy.</t>
  </si>
  <si>
    <t>800-171|3.11.2, 800-171|3.11.3, 800-171|3.14.1, 800-171r3|03.11.02, 800-171r3|03.14.01, 800-53|RA-5, 800-53|SI-2, 800-53|SI-2(2), 800-53r5|RA-5, 800-53r5|RA-7, 800-53r5|SI-2, 800-53r5|SI-2(2), CN-L3|8.1.4.4(e), CN-L3|8.1.10.5(a), CN-L3|8.1.10.5(b), CN-L3|8.5.4.1(b), CN-L3|8.5.4.1(d), CN-L3|8.5.4.1(e), CSCv7|3.4, CSCv7|3.5, CSCv8|7.3, CSCv8|7.4,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LEVEL|1M, NESA|M1.2.2, NESA|M5.4.1, NESA|T7.6.2, NESA|T7.7.1, NIAv2|PR9, PCI-DSSv3.2.1|6.1, PCI-DSSv3.2.1|6.2, PCI-DSSv4.0|6.3, PCI-DSSv4.0|6.3.1, PCI-DSSv4.0|6.3.3, QCSC-v1|3.2, QCSC-v1|5.2.1, QCSC-v1|5.2.2, QCSC-v1|5.2.3, QCSC-v1|8.2.1, QCSC-v1|10.2.1, QCSC-v1|11.2, SWIFT-CSCv1|2.2, SWIFT-CSCv1|2.7</t>
  </si>
  <si>
    <t>1.2.1 Ensure GPG keys are configured</t>
  </si>
  <si>
    <t>The command 'rpm -q gpg-pubkey --queryformat '%{name}-%{version}-%{release} --&gt; %{summary}\n'' returned : 
gpg-pubkey-ec551f03-53619141 --&gt; gpg(Oracle OSS group (Open Source Software group) &lt;build@oss.oracle.com&gt;)</t>
  </si>
  <si>
    <t>cmd: rpm -q gpg-pubkey --queryformat '%{name}-%{version}-%{release} --&gt; %{summary}\n'
expect: ^Manual Review Required$</t>
  </si>
  <si>
    <t>The RPM Package Manager implements GPG key signing to verify package integrity during and after installation.
It is important to ensure that updates are obtained from a valid source to protect against spoofing that could lead to the inadvertent installation of malware on the system. To this end, verify that GPG keys are configured correctly for your system.
NOTE: Nessus has provided the target output to assist in reviewing the benchmark to ensure target compliance.</t>
  </si>
  <si>
    <t>Update your package manager GPG keys in accordance with site policy.</t>
  </si>
  <si>
    <t>5.2.4.9 Ensure audit tools are owned by root</t>
  </si>
  <si>
    <t>PASSED</t>
  </si>
  <si>
    <t>The file /sbin/auditctl with fmode owner: root group: root mode: 0755 uid: 0 gid: 0 uneven permissions : FALSE is compliant with the policy value 
The file /sbin/auditd with fmode owner: root group: root mode: 0755 uid: 0 gid: 0 uneven permissions : FALSE is compliant with the policy value 
The file /sbin/augenrules with fmode owner: root group: root mode: 0755 uid: 0 gid: 0 uneven permissions : FALSE is compliant with the policy value 
The file /sbin/aureport with fmode owner: root group: root mode: 0755 uid: 0 gid: 0 uneven permissions : FALSE is compliant with the policy value 
The file /sbin/ausearch with fmode owner: root group: root mode: 0755 uid: 0 gid: 0 uneven permissions : FALSE is compliant with the policy value 
The file /sbin/autrace with fmode owner: root group: root mode: 0750 uid: 0 gid: 0 uneven permissions : FALSE is compliant with the policy value 
/sbin/auditctl, /sbin/auditd, /sbin/augenrules, /sbin/aureport, /sbin/ausearch, /sbin/autrace</t>
  </si>
  <si>
    <t>file: /sbin/auditctl /sbin/aureport /sbin/ausearch /sbin/autrace /sbin/auditd /sbin/augenrules
group: root
mask: 022
owner: root</t>
  </si>
  <si>
    <t>Audit tools include, but are not limited to, vendor-provided and open source audit tools needed to successfully view and manipulate audit information system activity and records. Audit tools include custom queries and report generators.
Protecting audit information includes identifying and protecting the tools used to view and manipulate log data. Protecting audit tools is necessary to prevent unauthorized operation on audit information.</t>
  </si>
  <si>
    <t>Run the following command to change the owner of the audit tools to the root user:
# chown root /sbin/auditctl /sbin/aureport /sbin/ausearch /sbin/autrace /sbin/auditd /sbin/augenrules</t>
  </si>
  <si>
    <t>5.2.4.8 Ensure audit tools are 755 or more restrictive</t>
  </si>
  <si>
    <t>Run the following command to remove more permissive mode from the audit tools:
# chmod go-w /sbin/auditctl /sbin/aureport /sbin/ausearch /sbin/autrace /sbin/auditd /sbin/augenrules</t>
  </si>
  <si>
    <t>5.2.4.7 Ensure audit configuration files belong to group root</t>
  </si>
  <si>
    <t>'The command '/bin/find /etc/audit/ -type f \( -name '*.conf' -o -name '*.rules' \) ! -group root | /bin/awk '{print} END { if(NR==0) print "pass" ; else print "fail"}'' returned : 
/bin/find: '/etc/audit/': Permission denied
pass</t>
  </si>
  <si>
    <t>cmd: /bin/find /etc/audit/ -type f \( -name '*.conf' -o -name '*.rules' \) ! -group root | /bin/awk '{print} END { if(NR==0) print "pass" ; else print "fail"}'
expect: ^pass$
timeout: 7200</t>
  </si>
  <si>
    <t>Audit configuration files control auditd and what events are audited.
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</si>
  <si>
    <t>Run the following command to change group to root :
# find /etc/audit/ -type f ( -name '*.conf' -o -name '*.rules' ) ! -group root -exec chgrp root {} +</t>
  </si>
  <si>
    <t>5.2.4.6 Ensure audit configuration files are owned by root</t>
  </si>
  <si>
    <t>'The command '/bin/find /etc/audit/ -type f \( -name '*.conf' -o -name '*.rules' \) ! -user root | /bin/awk '{print} END { if(NR==0) print "pass" ; else print "fail"}'' returned : 
/bin/find: '/etc/audit/': Permission denied
pass</t>
  </si>
  <si>
    <t>cmd: /bin/find /etc/audit/ -type f \( -name '*.conf' -o -name '*.rules' \) ! -user root | /bin/awk '{print} END { if(NR==0) print "pass" ; else print "fail"}'
expect: ^pass$
timeout: 7200</t>
  </si>
  <si>
    <t>Run the following command to change ownership to root user:
# find /etc/audit/ -type f ( -name '*.conf' -o -name '*.rules' ) ! -user root -exec chown root {} +</t>
  </si>
  <si>
    <t>5.2.4.5 Ensure audit configuration files are 640 or more restrictive</t>
  </si>
  <si>
    <t>'The command '/bin/find /etc/audit/ -type f \( -name '*.conf' -o -name '*.rules' \) -exec /bin/stat -Lc "%n %a" {} + | /bin/grep -Pv -- '^\h*\H+\h*([0,2,4,6][0,4]0)\h*$' | /bin/awk '{print} END { if(NR==0) print "pass" ; else print "fail"}'' returned : 
/bin/find: '/etc/audit/': Permission denied
pass</t>
  </si>
  <si>
    <t>cmd: /bin/find /etc/audit/ -type f \( -name '*.conf' -o -name '*.rules' \) -exec /bin/stat -Lc "%n %a" {} + | /bin/grep -Pv -- '^\h*\H+\h*([0,2,4,6][0,4]0)\h*$' | /bin/awk '{print} END { if(NR==0) print "pass" ; else print "fail"}'
expect: ^pass$
timeout: 7200</t>
  </si>
  <si>
    <t>Run the following command to remove more permissive mode than 0640 from the audit configuration files:
# find /etc/audit/ -type f ( -name '*.conf' -o -name '*.rules' ) -exec chmod u-x,g-wx,o-rwx {} +</t>
  </si>
  <si>
    <t>5.2.4.10 Ensure audit tools belong to group root</t>
  </si>
  <si>
    <t>Run the following command to remove more permissive mode from the audit tools:
# chmod go-w /sbin/auditctl /sbin/aureport /sbin/ausearch /sbin/autrace /sbin/auditd /sbin/augenrules
Run the following command to change owner and group of the audit tools to root user and group:
# chown root:root /sbin/auditctl /sbin/aureport /sbin/ausearch /sbin/autrace /sbin/auditd /sbin/augenrules</t>
  </si>
  <si>
    <t>5.2.4.1 Ensure the audit log directory is 0750 or more restrictive</t>
  </si>
  <si>
    <t>'The command '/bin/stat -Lc "%n %a" "$(dirname $( /bin/awk -F"=" '/^\s*log_file\s*=\s*/ {print $2}' /etc/audit/auditd.conf))" | /bin/grep -Pv -- '^\h*\H+\h+([0-7][0,1,4,5]0)' | /bin/awk '{print} END { if(NR==0) print "pass" ; else print "fail"}'' returned : 
awk: fatal: cannot open file `/etc/audit/auditd.conf' for reading (Permission denied)
dirname: missing operand
Try 'dirname --help' for more information.
/bin/stat: cannot stat '': No such file or directory
pass</t>
  </si>
  <si>
    <t>cmd: /bin/stat -Lc "%n %a" "$(dirname $( /bin/awk -F"=" '/^\s*log_file\s*=\s*/ {print $2}' /etc/audit/auditd.conf))" | /bin/grep -Pv -- '^\h*\H+\h+([0-7][0,1,4,5]0)' | /bin/awk '{print} END { if(NR==0) print "pass" ; else print "fail"}'
expect: (?i)^[\s]*\**[\s]*pass:?[\s]*\**$</t>
  </si>
  <si>
    <t>The audit log directory contains audit log files.
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t>
  </si>
  <si>
    <t>Run the following command to configure the audit log directory to have a mode of "0750" or less permissive:
# chmod g-w,o-rwx "$(dirname $( awk -F"=" '/^s*log_files*=s*/ {print $2}' /etc/audit/auditd.conf))"</t>
  </si>
  <si>
    <t>5.2.1.4 Ensure auditd service is enabled</t>
  </si>
  <si>
    <t>'The command '/bin/systemctl is-enabled auditd | /bin/awk '{print} END {if(NR==0) print "disabled" }'' returned : 
enabled</t>
  </si>
  <si>
    <t>cmd: /bin/systemctl is-enabled auditd | /bin/awk '{print} END {if(NR==0) print "disabled" }'
expect: ^enabled$</t>
  </si>
  <si>
    <t>Turn on the auditd daemon to record system events.
The capturing of system events provides system administrators with information to allow them to determine if unauthorized access to their system is occurring.</t>
  </si>
  <si>
    <t>Run the following command to enable auditd :
# systemctl --now enable auditd</t>
  </si>
  <si>
    <t>800-171|3.3.1, 800-171|3.3.2, 800-171|3.3.6, 800-53|AU-2, 800-53|AU-7, 800-53|AU-12, 800-53r5|AU-2, 800-53r5|AU-7, 800-53r5|AU-12, CN-L3|7.1.2.3(c), CN-L3|8.1.4.3(a), CSCv7|6.2, CSCv7|6.3, CSCv8|8.2, CSF|DE.CM-1, CSF|DE.CM-3, CSF|DE.CM-7, CSF|PR.PT-1, CSF|RS.AN-3, CSF2.0|DE.CM-01, CSF2.0|DE.CM-03, CSF2.0|DE.CM-09, CSF2.0|PR.PS-04, CSF2.0|RS.AN-03, CSF2.0|RS.AN-06, CSF2.0|RS.AN-07, GDPR|32.1.b, HIPAA|164.306(a)(1), HIPAA|164.312(b), ITSG-33|AU-2, ITSG-33|AU-7, ITSG-33|AU-12, LEVEL|2A, NESA|M1.2.2, NESA|M5.5.1, NIAv2|AM7, NIAv2|AM11a, NIAv2|AM11b, NIAv2|AM11c, NIAv2|AM11d, NIAv2|AM11e, NIAv2|SS30, NIAv2|VL8, PCI-DSSv3.2.1|10.1, QCSC-v1|3.2, QCSC-v1|6.2, QCSC-v1|8.2.1, QCSC-v1|10.2.1, QCSC-v1|11.2, QCSC-v1|13.2, SWIFT-CSCv1|6.4</t>
  </si>
  <si>
    <t>5.2.1.1 Ensure audit is installed</t>
  </si>
  <si>
    <t>All of the following must pass to satisfy this requirement:
-------------------------
PASSED - audit installed
The local RPM is newer than audit-0.0.0-0 (audit-2.8.5-4.el7)
-------------------------
PASSED - audit-libs installed
The local RPM is newer than audit-libs-0.0.0-0 (audit-libs-2.8.5-4.el7)</t>
  </si>
  <si>
    <t>auditd is the userspace component to the Linux Auditing System. It's responsible for writing audit records to the disk.
The capturing of system events provides system administrators with information to allow them to determine if unauthorized access to their system is occurring.</t>
  </si>
  <si>
    <t>Run the following command to install audit and audit-libs :
# yum install audit audit-libs</t>
  </si>
  <si>
    <t>800-171|3.3.1, 800-171|3.3.2, 800-171|3.3.6, 800-53|AU-2, 800-53|AU-3, 800-53|AU-3(1), 800-53|AU-7, 800-53|AU-12, 800-53r5|AU-2, 800-53r5|AU-3, 800-53r5|AU-3(1), 800-53r5|AU-7, 800-53r5|AU-12, CN-L3|7.1.2.3(a), CN-L3|7.1.2.3(b), CN-L3|7.1.2.3(c), CN-L3|7.1.3.3(a), CN-L3|7.1.3.3(b), CN-L3|8.1.4.3(a), CN-L3|8.1.4.3(b), CSCv7|6.2, CSCv7|6.3, CSCv8|8.2, CSCv8|8.5, CSF|DE.CM-1, CSF|DE.CM-3, CSF|DE.CM-7, CSF|PR.PT-1, CSF|RS.AN-3, CSF2.0|DE.CM-01, CSF2.0|DE.CM-03, CSF2.0|DE.CM-09, CSF2.0|PR.PS-04, CSF2.0|RS.AN-03, CSF2.0|RS.AN-06, CSF2.0|RS.AN-07, GDPR|32.1.b, HIPAA|164.306(a)(1), HIPAA|164.312(b), ITSG-33|AU-2, ITSG-33|AU-3, ITSG-33|AU-3(1), ITSG-33|AU-7, ITSG-33|AU-12, LEVEL|2A, NESA|M1.2.2, NESA|M5.5.1, NESA|T3.6.2, NIAv2|AM7, NIAv2|AM11a, NIAv2|AM11b, NIAv2|AM11c, NIAv2|AM11d, NIAv2|AM11e, NIAv2|AM34a, NIAv2|AM34b, NIAv2|AM34c, NIAv2|AM34d, NIAv2|AM34e, NIAv2|AM34f, NIAv2|AM34g, NIAv2|SS30, NIAv2|VL8, PCI-DSSv3.2.1|10.1, PCI-DSSv3.2.1|10.3, PCI-DSSv3.2.1|10.3.1, PCI-DSSv3.2.1|10.3.2, PCI-DSSv3.2.1|10.3.3, PCI-DSSv3.2.1|10.3.4, PCI-DSSv3.2.1|10.3.5, PCI-DSSv3.2.1|10.3.6, PCI-DSSv4.0|10.2.2, QCSC-v1|3.2, QCSC-v1|6.2, QCSC-v1|8.2.1, QCSC-v1|10.2.1, QCSC-v1|11.2, QCSC-v1|13.2, SWIFT-CSCv1|6.4</t>
  </si>
  <si>
    <t>4.5.3.1 Ensure nologin is not listed in /etc/shells</t>
  </si>
  <si>
    <t>The following file(s) do not contain "^.*\/nologin\b": 
      /etc/shells</t>
  </si>
  <si>
    <t>expect: ^.*\/nologin\b
file: /etc/shells
regex: ^.*\/nologin\b</t>
  </si>
  <si>
    <t>/etc/shells is a text file which contains the full pathnames of valid login shells. This file is consulted by chsh and available to be queried by other programs.
Be aware that there are programs which consult this file to find out if a user is a normal user; for example, FTP daemons traditionally disallow access to users with shells not included in this file.
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t>
  </si>
  <si>
    <t>Edit /etc/shells and remove any lines that include nologin</t>
  </si>
  <si>
    <t>800-171|3.5.2, 800-53|IA-5, 800-53r5|IA-5, CSF|PR.AC-1, CSF2.0|PR.AA-01, CSF2.0|PR.AA-03, GDPR|32.1.b, HIPAA|164.306(a)(1), HIPAA|164.312(a)(2)(i), HIPAA|164.312(d), ITSG-33|IA-5, LEVEL|2A, NESA|T5.2.3, QCSC-v1|5.2.2, QCSC-v1|13.2</t>
  </si>
  <si>
    <t>4.2.8 Ensure sshd DisableForwarding is enabled</t>
  </si>
  <si>
    <t>The command script with multiple lines returned : 
/etc/ssh/sshd_config: Permission denied
port 22: 
Pass</t>
  </si>
  <si>
    <t>The DisableForwarding parameter disables all forwarding features, including X11, ssh-agent(1), TCP and StreamLocal. This option overrides all other forwarding-related options and may simplify restricted configurations.
 - X11Forwarding provides the ability to tunnel X11 traffic through the connection to enable remote graphic connections.
 - ssh-agent is a program to hold private keys used for public key authentication. Through use of environment variables the agent can be located and automatically used for authentication when logging in to other machines using ssh.
 - 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
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the intermediate server can make free use of ssh-agent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</si>
  <si>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Edit the /etc/ssh/sshd_config file to set the DisableForwarding parameter to yes :
DisableForwarding yes
Note: First occurrence of a option takes precedence.
Impact:
SSH tunnels are widely used in many corporate environments. In some environments the applications themselves may have very limited native support for security. By utilizing tunneling, compliance with SOX, HIPAA, PCI-DSS, and other standards can be achieved without having to modify the applications.</t>
  </si>
  <si>
    <t>800-171|3.4.2, 800-171|3.4.6, 800-171|3.4.7, 800-53|CM-6, 800-53|CM-7, 800-53r5|CM-6, 800-53r5|CM-7, CSCv7|9.2, CSCv8|4.8, CSF|PR.IP-1, CSF|PR.PT-3, CSF2.0|DE.CM-09, CSF2.0|PR.PS-01, GDPR|32.1.b, HIPAA|164.306(a)(1), ITSG-33|CM-6, ITSG-33|CM-7, LEVEL|2A, NIAv2|SS15a, PCI-DSSv3.2.1|2.2.2, SWIFT-CSCv1|2.3</t>
  </si>
  <si>
    <t>3.2.4 Ensure sctp kernel module is not available</t>
  </si>
  <si>
    <t>The command script with multiple lines returned : 
-- INFO --
 - module: "sctp" exists in:
  - "/lib/modules/3.10.0-1062.el7.x86_64/kernel/net"
  - "/lib/modules/3.10.0-1160.119.1.0.5.el7.x86_64/kernel/net"
  - "/lib/modules/4.14.35-1902.3.2.el7uek.x86_64/kernel/net"
  - "/lib/modules/4.14.35-2047.543.3.1.el7uek.x86_64/kernel/net"
- Audit Result:
  ** PASS **
 - module: "sctp" is deny listed in: "/etc/modprobe.d/sctp.conf"
 - module: "sctp" is not loadable: "install /bin/false "
 - module: "sctp" is not loaded</t>
  </si>
  <si>
    <t>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
-IF- the protocol is not being used, it is recommended that kernel module not be loaded, disabling the service to reduce the potential attack surface.</t>
  </si>
  <si>
    <t>Run the following script to disable the sctp module:
-IF- the module is available in the running kernel:
 - Create a file with install sctp /bin/false in the /etc/modprobe.d/ directory
 - Create a file with blacklist sctp in the /etc/modprobe.d/ directory
 - Unload sctp from the kernel
-IF- available in ANY installed kernel:
 - Create a file with blacklist sctp in the /etc/modprobe.d/ directory
-IF- the kernel module is not available on the system or pre-compiled into the kernel:
 - No remediation is necessary
#!/usr/bin/env bash
{
   l_mname="sctp"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</si>
  <si>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3.2.3 Ensure rds kernel module is not available</t>
  </si>
  <si>
    <t>The command script with multiple lines returned : 
-- INFO --
 - module: "rds" exists in:
  - "/lib/modules/4.14.35-1902.3.2.el7uek.x86_64/kernel/net"
  - "/lib/modules/4.14.35-2047.543.3.1.el7uek.x86_64/kernel/net"
- Audit Result:
  ** PASS **
 - module: "rds" doesn't exist in "/lib/modules/3.10.0-1062.el7.x86_64/kernel/net"
 - module: "rds" doesn't exist in "/lib/modules/3.10.0-1160.119.1.0.5.el7.x86_64/kernel/net"
 - module: "rds" is deny listed in: "/etc/modprobe.d/rds.conf"
 - module: "rds" is not loadable: "install /bin/false "
 - module: "rds" is not loaded</t>
  </si>
  <si>
    <t>The Reliable Datagram Sockets (RDS) protocol is a transport layer protocol designed to provide low-latency, high-bandwidth communications between cluster nodes. It was developed by the Oracle Corporation.
-IF- the protocol is not being used, it is recommended that kernel module not be loaded, disabling the service to reduce the potential attack surface.</t>
  </si>
  <si>
    <t>Run the following script to disable the rds module:
-IF- the module is available in the running kernel:
 - Create a file with install rds /bin/false in the /etc/modprobe.d/ directory
 - Create a file with blacklist rds in the /etc/modprobe.d/ directory
 - Unload rds from the kernel
-IF- available in ANY installed kernel:
 - Create a file with blacklist rds in the /etc/modprobe.d/ directory
-IF- the kernel module is not available on the system or pre-compiled into the kernel:
 - No remediation is necessary
#!/usr/bin/env bash
{
   l_mname="rds"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</si>
  <si>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3.2.2 Ensure tipc kernel module is not available</t>
  </si>
  <si>
    <t>The command script with multiple lines returned : 
- Audit Result:
  ** PASS **
 - module: "tipc" doesn't exist in "/lib/modules/3.10.0-1062.el7.x86_64/kernel/net"
 - module: "tipc" doesn't exist in "/lib/modules/3.10.0-1160.119.1.0.5.el7.x86_64/kernel/net"
 - module: "tipc" doesn't exist in "/lib/modules/4.14.35-1902.3.2.el7uek.x86_64/kernel/net"
 - module: "tipc" doesn't exist in "/lib/modules/4.14.35-2047.543.3.1.el7uek.x86_64/kernel/net"</t>
  </si>
  <si>
    <t>The Transparent Inter-Process Communication (TIPC) protocol is designed to provide communication between cluster nodes.
-IF- the protocol is not being used, it is recommended that kernel module not be loaded, disabling the service to reduce the potential attack surface.</t>
  </si>
  <si>
    <t>Run the following script to disable the tipc module:
-IF- the module is available in the running kernel:
 - Create a file with install tipc /bin/false in the /etc/modprobe.d/ directory
 - Create a file with blacklist tipc in the /etc/modprobe.d/ directory
 - Unload tipc from the kernel
-IF- available in ANY installed kernel:
 - Create a file with blacklist tipc in the /etc/modprobe.d/ directory
-IF- the kernel module is not available on the system or pre-compiled into the kernel:
 - No remediation is necessary
#!/usr/bin/env bash
{
   l_mname="tipc"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</si>
  <si>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3.2.1 Ensure dccp kernel module is not available</t>
  </si>
  <si>
    <t>The command script with multiple lines returned : 
-- INFO --
 - module: "dccp" exists in:
  - "/lib/modules/3.10.0-1062.el7.x86_64/kernel/net"
  - "/lib/modules/3.10.0-1160.119.1.0.5.el7.x86_64/kernel/net"
  - "/lib/modules/4.14.35-1902.3.2.el7uek.x86_64/kernel/net"
  - "/lib/modules/4.14.35-2047.543.3.1.el7uek.x86_64/kernel/net"
- Audit Result:
  ** PASS **
 - module: "dccp" is deny listed in: "/etc/modprobe.d/dccp-blacklist.conf
/etc/modprobe.d/dccp.conf"
 - module: "dccp" is not loadable: "install /bin/false "
 - module: "dccp" is not loaded</t>
  </si>
  <si>
    <t>The Datagram Congestion Control Protocol (DCCP) is a transport layer protocol that supports streaming media and telephony. DCCP provides a way to gain access to congestion control, without having to do it at the application layer, but does not provide in-sequence delivery.
-IF- the protocol is not required, it is recommended that the drivers not be installed to reduce the potential attack surface.</t>
  </si>
  <si>
    <t>Run the following script to disable the dccp module:
-IF- the module is available in the running kernel:
 - Create a file with install dccp /bin/false in the /etc/modprobe.d/ directory
 - Create a file with blacklist dccp in the /etc/modprobe.d/ directory
 - Unload dccp from the kernel
-IF- available in ANY installed kernel:
 - Create a file with blacklist dccp in the /etc/modprobe.d/ directory
-IF- the kernel module is not available on the system or pre-compiled into the kernel:
 - No remediation is necessary
#!/usr/bin/env bash
{
   l_mname="dccp"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</si>
  <si>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2.3.2 Ensure ldap client is not installed</t>
  </si>
  <si>
    <t>The package 'openldap-clients-0.0.0-0' is not installed</t>
  </si>
  <si>
    <t>operator: lte
rpm: openldap-clients-0.0.0-0</t>
  </si>
  <si>
    <t>The Lightweight Directory Access Protocol (LDAP) was introduced as a replacement for NIS/YP. It is a service that provides a method for looking up information from a central database.
If the system will not need to act as an LDAP client, it is recommended that the software be removed to reduce the potential attack surface.</t>
  </si>
  <si>
    <t>Run the following command to remove the openldap-clients package:
# yum remove openldap-clients
Impact:
Removing the LDAP client will prevent or inhibit using LDAP for authentication in your environment.</t>
  </si>
  <si>
    <t>800-171|3.4.2, 800-171|3.4.6, 800-171|3.4.7, 800-53|CM-6, 800-53|CM-7, 800-53r5|CM-6, 800-53r5|CM-7, CSCv7|2.6, CSCv8|4.8, CSF|PR.IP-1, CSF|PR.PT-3, CSF2.0|DE.CM-09, CSF2.0|PR.PS-01, GDPR|32.1.b, HIPAA|164.306(a)(1), ITSG-33|CM-6, ITSG-33|CM-7, LEVEL|2A, NIAv2|SS15a, PCI-DSSv3.2.1|2.2.2, SWIFT-CSCv1|2.3</t>
  </si>
  <si>
    <t>2.2.20 Ensure X window server services are not in use</t>
  </si>
  <si>
    <t>The package 'xorg-x11-server-common-0.0.0-0' is not installed</t>
  </si>
  <si>
    <t>operator: lte
rpm: xorg-x11-server-common-0.0.0-0</t>
  </si>
  <si>
    <t>The X Window System provides a Graphical User Interface (GUI) where users can have multiple windows in which to run programs and various add on. The X Windows system is typically used on workstations where users login, but not on servers where users typically do not login.
Unless your organization specifically requires graphical login access via X Windows, remove it to reduce the potential attack surface.</t>
  </si>
  <si>
    <t>-IF- a Graphical Desktop Manager or X-Windows server is not required and approved by local site policy:
Run the following command to remove the X Windows Server packages:
# yum remove xorg-x11-server-common
Impact:
If a Graphical Desktop Manager (GDM) is in use on the system, there may be a dependency on the xorg-x11-server-common package. If the GDM is required and approved by local site policy, the package should not be removed.
Many Linux systems run applications which require a Java runtime. Some Linux Java packages have a dependency on specific X Windows xorg-x11-fonts. One workaround to avoid this dependency is to use the "headless" Java packages for your specific Java runtime.</t>
  </si>
  <si>
    <t>1.7.1 Ensure GNOME Display Manager is removed</t>
  </si>
  <si>
    <t>The package 'gdm-0.0.0-0' is not installed</t>
  </si>
  <si>
    <t>operator: lte
rpm: gdm-0.0.0-0</t>
  </si>
  <si>
    <t>The GNOME Display Manager (GDM) is a program that manages graphical display servers and handles graphical user logins.
If a Graphical User Interface (GUI) is not required, it should be removed to reduce the attack surface of the system.</t>
  </si>
  <si>
    <t>Run the following command to remove the gdm package
# yum remove gdm
Impact:
Removing the GNOME Display manager will remove the Graphical User Interface (GUI) from the system.</t>
  </si>
  <si>
    <t>1.5.1.5 Ensure the SELinux mode is enforcing</t>
  </si>
  <si>
    <t>'All of the following must pass to satisfy this requirement:
-------------------------
PASSED - /etc/selinux/config
Compliant file(s):
      /etc/selinux/config - regex '(?i)^[\s]*SELINUX[\s]*=' found - expect '(?i)^[\s]*SELINUX[\s]*=[\s]*enforcing[\s]*$' found in the following lines:
          7: SELINUX=enforcing
-------------------------
PASSED - getenforce
The command '/sbin/getenforce' returned : 
Enforcing</t>
  </si>
  <si>
    <t>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
Running SELinux in disabled mode the system not only avoids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t>
  </si>
  <si>
    <t>Run the following command to set SELinux's running mode:
# setenforce 1
Edit the /etc/selinux/config file to set the SELINUX parameter:
For Enforcing mode:
SELINUX=enforcing
Impact:
Running SELinux in Enforcing mode may block intended access to files or processes if the SELinux policy is not correctly configured. If this occurs, review the system logs for details and update labels or policy as appropriate.</t>
  </si>
  <si>
    <t>1.2.3 Ensure repo_gpgcheck is globally activated</t>
  </si>
  <si>
    <t>'All of the following must pass to satisfy this requirement:
-------------------------
WARNING - Manual Review Required - Per repository configuration
The command '/bin/grep -l "repo_gpgcheck=0" /etc/yum.repos.d/* | /bin/awk '{print} END {if (NR == 0) print "pass" ; else print "manual_review_required"}'' returned : 
pass
-------------------------
WARNING - Manual Review Required - Global configuration
Compliant file(s):
      /etc/yum.conf - regex '^[\s]*repo_gpgcheck[\s]*=' found - expect '^[\s]*repo_gpgcheck[\s]*=[\s]*1[\s]*$' found in the following lines:
          2: repo_gpgcheck=1</t>
  </si>
  <si>
    <t>The repo_gpgcheck option, found in the main section of the /etc/yum.conf and individual /etc/yum.repos.d/* files, will perform a GPG signature check on the repodata.
It is important to ensure that the repository data signature is always checked prior to installation to ensure that the software is not tampered with in any way.
NOTE: Nessus has provided the target output to assist in reviewing the benchmark to ensure target compliance.</t>
  </si>
  <si>
    <t>Global configuration
Edit /etc/yum.conf and set repo_gpgcheck=1 in the [main] section.
Example:
[main]
repo_gpgcheck=1
Per repository configuration
First check that the particular repository support GPG checking on the repodata.
Edit any failing files in /etc/yum.repos.d/* and set all instances starting with repo_gpgcheck to 1
Impact:
Not all repositories, notably RedHat, support repo_gpgcheck Take care to set this value to false (default) for particular repositories that do not support it. If enabled on repositories that do not support repo_gpgcheck installation of packages will fail.
Research is required by the user to determine which repositories is configured on the local system and, from that list, which support repo_gpgcheck</t>
  </si>
  <si>
    <t>800-171|3.11.2, 800-171|3.11.3, 800-171|3.14.1,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ISO/IEC-27001|A.12.6.1, ITSG-33|RA-5, ITSG-33|SI-2, ITSG-33|SI-2(2), LEVEL|2M, NESA|M1.2.2, NESA|M5.4.1, NESA|T7.6.2, NESA|T7.7.1, NIAv2|PR9, PCI-DSSv3.2.1|6.1, PCI-DSSv3.2.1|6.2, PCI-DSSv4.0|6.3, PCI-DSSv4.0|6.3.1, PCI-DSSv4.0|6.3.3, QCSC-v1|3.2, QCSC-v1|5.2.1, QCSC-v1|5.2.2, QCSC-v1|5.2.3, QCSC-v1|8.2.1, QCSC-v1|10.2.1, QCSC-v1|11.2, SWIFT-CSCv1|2.2, SWIFT-CSCv1|2.7</t>
  </si>
  <si>
    <t>1.1.2.4.1 Ensure separate partition exists for /var</t>
  </si>
  <si>
    <t>'Compliant file(s):
      /proc/self/mountinfo - regex '[\s]+/var[\s]+' found - expect '[\s]+/var[\s]+' found in the following lines:
          32: 53 43 7:1 / /var rw,nosuid,nodev,relatime shared:32 - ext4 /dev/loop1 rw,seclabel,data=ordered</t>
  </si>
  <si>
    <t>expect: [\s]+/var[\s]+
file: /proc/self/mountinfo
regex: [\s]+/var[\s]+</t>
  </si>
  <si>
    <t>The /var directory is used by daemons and other system services to temporarily store dynamic data. Some directories created by these processes may be world-writable.
The reasoning for mounting /var on a separate partition is as follows.
Protection from resource exhaustion
The default installation only creates a single / partition. Since the /var directory may contain world-writable files and directories, there is a risk of resource exhaustion. It will essentially have the whole disk available to fill up and impact the system as a whole. In addition, other operations on the system could fill up the disk unrelated to /var and cause unintended behavior across the system as the disk is full. See man auditd.conf for details.
Fine grained control over the mount
Configuring /var as its own file system allows an administrator to set additional mount options such as noexec/nosuid/nodev These options limits an attackers ability to create exploits on the system. Other options allow for specific behavior. See man mount for exact details regarding filesystem-independent and filesystem-specific options.
Protection from exploitation
An example of exploiting /var may be an attacker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</si>
  <si>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For new installations, during installation create a custom partition setup and specify a separate partition for /var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</si>
  <si>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1.1.2.3.1 Ensure separate partition exists for /home</t>
  </si>
  <si>
    <t>'Compliant file(s):
      /proc/self/mountinfo - regex '[\s]+/home[\s]+' found - expect '[\s]+/home[\s]+' found in the following lines:
          33: 52 43 7:0 / /home rw,nosuid,nodev,relatime shared:33 - ext4 /dev/loop0 rw,seclabel,data=ordered</t>
  </si>
  <si>
    <t>expect: [\s]+/home[\s]+
file: /proc/self/mountinfo
regex: [\s]+/home[\s]+</t>
  </si>
  <si>
    <t>The /home directory is used to support disk storage needs of local users.
The reasoning for mounting /home on a separate partition is as follows.
Protection from resource exhaustion
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Fine grained control over the mount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Protection of user data
As /home contains user data, care should be taken to ensure the security and integrity of the data and mount point.</t>
  </si>
  <si>
    <t>For new installations, during installation create a custom partition setup and specify a separate partition for /home
For systems that were previously installed, create a new partition and configure /etc/fstab as appropriate.
Impact:
Resizing filesystems is a common activity in cloud-hosted servers. Separate filesystem partitions may prevent successful resizing, or may require the installation of additional tools solely for the purpose of resizing operations. The use of these additional tools may introduce their own security considerations.</t>
  </si>
  <si>
    <t>1.1.1.7 Ensure udf kernel module is not available</t>
  </si>
  <si>
    <t>The command script with multiple lines returned : 
-- INFO --
 - module: "udf" exists in:
  - "/lib/modules/3.10.0-1062.el7.x86_64/kernel/fs"
  - "/lib/modules/3.10.0-1160.119.1.0.5.el7.x86_64/kernel/fs"
  - "/lib/modules/4.14.35-1902.3.2.el7uek.x86_64/kernel/fs"
  - "/lib/modules/4.14.35-2047.543.3.1.el7uek.x86_64/kernel/fs"
- Audit Result:
  ** PASS **
 - module: "udf" is deny listed in: "/etc/modprobe.d/udf.conf"
 - module: "udf" is not loadable: "install /bin/false "
 - module: "udf" is not loaded</t>
  </si>
  <si>
    <t>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
Removing support for unneeded filesystem types reduces the local attack surface of the system. If this filesystem type is not needed, disable it.</t>
  </si>
  <si>
    <t>Run the following script to disable the udf module:
-IF- the module is available in the running kernel:
 - Create a file ending inconf with install udf /bin/false in the /etc/modprobe.d/ directory
 - Create a file ending inconf with blacklist udf in the /etc/modprobe.d/ directory
 - Unload udf from the kernel
-IF- available in ANY installed kernel:
 - Create a file ending inconf with blacklist udf in the /etc/modprobe.d/ directory
-IF- the kernel module is not available on the system or pre-compiled into the kernel:
 - No remediation is necessary
#!/usr/bin/env bash
{
   l_mname="udf"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
Impact:
Microsoft Azure requires the usage of udf
udf should not be disabled on systems run on Microsoft Azure.</t>
  </si>
  <si>
    <t>1.1.1.6 Ensure squashfs kernel module is not available</t>
  </si>
  <si>
    <t>The command script with multiple lines returned : 
-- INFO --
 - module: "squashfs" exists in:
  - "/lib/modules/3.10.0-1062.el7.x86_64/kernel/fs"
  - "/lib/modules/3.10.0-1160.119.1.0.5.el7.x86_64/kernel/fs"
  - "/lib/modules/4.14.35-1902.3.2.el7uek.x86_64/kernel/fs"
  - "/lib/modules/4.14.35-2047.543.3.1.el7uek.x86_64/kernel/fs"
- Audit Result:
  ** PASS **
 - module: "squashfs" is deny listed in: "/etc/modprobe.d/squashfs.conf"
 - module: "squashfs" is not loadable: "install /bin/false "
 - module: "squashfs" is not loaded</t>
  </si>
  <si>
    <t>The squashfs filesystem type is a compressed read-only Linux filesystem embedded in small footprint systems. A squashfs image can be used without having to first decompress the image.
Removing support for unneeded filesystem types reduces the local attack surface of the system. If this filesystem type is not needed, disable it.</t>
  </si>
  <si>
    <t>Run the following script to disable the squashfs module:
-IF- the module is available in the running kernel:
 - Create a file ending inconf with install squashfs /bin/false in the /etc/modprobe.d/ directory
 - Create a file ending inconf with blacklist squashfs in the /etc/modprobe.d/ directory
 - Unload squashfs from the kernel
-IF- available in ANY installed kernel:
 - Create a file ending inconf with blacklist squashfs in the /etc/modprobe.d/ directory
-IF- the kernel module is not available on the system or pre-compiled into the kernel:
 - No remediation is necessary
#!/usr/bin/env bash
{
   l_mname="squashfs"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
Impact:
As Snap packages utilizes squashfs as a compressed filesystem, disabling squashfs will cause Snap packages to fail.
Snap application packages of software are self-contained and work across a range of Linux distributions. This is unlike traditional Linux package management approaches, like APT or RPM, which require specifically adapted packages per Linux distribution on an application update and delay therefore application deployment from developers to their software's end-user. Snaps themselves have no dependency on any external store ("App store"), can be obtained from any source and can be therefore used for upstream software deployment.</t>
  </si>
  <si>
    <t>CIS_Oracle_Linux_7_v4.0.0_L2_Server.audit from CIS Oracle Linux 7 Benchmark v4.0.0</t>
  </si>
  <si>
    <t>6.2.9 Ensure root is the only UID 0 account</t>
  </si>
  <si>
    <t>No issues found.</t>
  </si>
  <si>
    <t>name: passwd_zero_uid</t>
  </si>
  <si>
    <t>Any account with UID 0 has superuser privileges on the system.
This access must be limited to only the default root account and only from the system console. Administrative access must be through an unprivileged account using an approved mechanism as noted in Item 5.6 Ensure access to the su command is restricted.</t>
  </si>
  <si>
    <t>Remove any users other than root with UID 0 or assign them a new UID if appropriate.</t>
  </si>
  <si>
    <t>800-171|3.1.5, 800-171r3|03.01.06a., 800-53|AC-6(5), 800-53r5|AC-6(5), CN-L3|8.1.10.6(a), CSF|PR.AC-4, CSF2.0|PR.AA-05, GDPR|32.1.b, HIPAA|164.306(a)(1), HIPAA|164.312(a)(1), ISO-27001-2022|A.5.15, ISO-27001-2022|A.8.2, ISO-27001-2022|A.8.18, ISO/IEC-27001|A.9.2.3, ITSG-33|AC-6(5), LEVEL|1A, NESA|T5.1.1, NESA|T5.2.2, NESA|T5.6.1, NIAv2|AM32, NIAv2|AM33, NIAv2|VL3a, PCI-DSSv3.2.1|7.1.2, PCI-DSSv4.0|7.2.1, PCI-DSSv4.0|7.2.2, QCSC-v1|5.2.2, QCSC-v1|6.2, SWIFT-CSCv1|1.2, TBA-FIISB|31.4.2, TBA-FIISB|31.4.3</t>
  </si>
  <si>
    <t>6.2.7 Ensure no duplicate group names exist</t>
  </si>
  <si>
    <t>name: group_duplicate_name</t>
  </si>
  <si>
    <t>Although the groupadd program will not let you create a duplicate group name, it is possible for an administrator to manually edit the /etc/group file and change the group name.
If a group is assigned a duplicate group name, it will create and have access to files with the first GID for that group in /etc/group Effectively, the GID is shared, which is a security problem.</t>
  </si>
  <si>
    <t>Based on the results of the audit script, establish unique names for the user groups. File group ownerships will automatically reflect the change as long as the groups have unique GIDs.</t>
  </si>
  <si>
    <t>800-171|3.5.5, 800-171|3.5.6, 800-171r3|03.05.05c., 800-53|IA-4d., 800-53r5|IA-4d., CN-L3|8.1.4.1(a), CSF|PR.AC-1, CSF2.0|PR.AA-01, GDPR|32.1.b, HIPAA|164.306(a)(1), HIPAA|164.312(a)(2)(i), HIPAA|164.312(d), ISO-27001-2022|A.5.16, ITSG-33|IA-4d., LEVEL|1A, NESA|T5.5.2, NIAv2|AM14a, QCSC-v1|5.2.2, QCSC-v1|13.2, SWIFT-CSCv1|5</t>
  </si>
  <si>
    <t>6.2.6 Ensure no duplicate user names exist</t>
  </si>
  <si>
    <t>name: passwd_duplicate_username</t>
  </si>
  <si>
    <t>Although the useradd program will not let you create a duplicate user name, it is possible for an administrator to manually edit the /etc/passwd file and change the username.
If a user is assigned a duplicate user name, it will create and have access to files with the first UID for that username in /etc/passwd For example, if "test4" has a UID of 1000 and a subsequent "test4" entry has a UID of 2000, logging in as "test4" will use UID 1000. Effectively, the UID is shared, which is a security problem.</t>
  </si>
  <si>
    <t>Based on the results of the audit script, establish unique user names for the users. File ownerships will automatically reflect the change as long as the users have unique UIDs.</t>
  </si>
  <si>
    <t>6.2.5 Ensure no duplicate GIDs exist</t>
  </si>
  <si>
    <t>No duplicate Group IDs detected</t>
  </si>
  <si>
    <t>name: group_duplicate_gid</t>
  </si>
  <si>
    <t>Although the groupadd program will not let you create a duplicate Group ID (GID), it is possible for an administrator to manually edit the /etc/group file and change the GID field.
User groups must be assigned unique GIDs for accountability and to ensure appropriate access protections.</t>
  </si>
  <si>
    <t>Based on the results of the audit script, establish unique GIDs and review all files owned by the shared GID to determine which group they are supposed to belong to.</t>
  </si>
  <si>
    <t>6.2.4 Ensure no duplicate UIDs exist</t>
  </si>
  <si>
    <t>No duplicate User IDs detected</t>
  </si>
  <si>
    <t>name: passwd_duplicate_uid</t>
  </si>
  <si>
    <t>Although the useradd program will not let you create a duplicate User ID (UID), it is possible for an administrator to manually edit the /etc/passwd file and change the UID field.
Users must be assigned unique UIDs for accountability and to ensure appropriate access protections.</t>
  </si>
  <si>
    <t>Based on the results of the audit script, establish unique UIDs and review all files owned by the shared UIDs to determine which UID they are supposed to belong to.</t>
  </si>
  <si>
    <t>6.2.3 Ensure all groups in /etc/passwd exist in /etc/group</t>
  </si>
  <si>
    <t>name: passwd_invalid_gid</t>
  </si>
  <si>
    <t>Over time, system administration errors and changes can lead to groups being defined in /etc/passwd but not in /etc/group
Groups defined in the /etc/passwd file but not in the /etc/group file pose a threat to system security since group permissions are not properly managed.</t>
  </si>
  <si>
    <t>Analyze the output of the Audit step above and perform the appropriate action to correct any discrepancies found.</t>
  </si>
  <si>
    <t>800-171|3.1.1, 800-171r3|03.01.01, 800-53|AC-2c., 800-53r5|AC-2c., CN-L3|7.1.3.2(d), CSF|DE.CM-1, CSF|DE.CM-3, CSF|PR.AC-1, CSF|PR.AC-4, CSF2.0|DE.CM-01, CSF2.0|DE.CM-03, CSF2.0|PR.AA-01, CSF2.0|PR.AA-05, CSF2.0|PR.DS-10, GDPR|32.1.b, HIPAA|164.306(a)(1), HIPAA|164.312(a)(1), ISO-27001-2022|A.5.16, ISO-27001-2022|A.5.18, ISO-27001-2022|A.8.2, ISO/IEC-27001|A.9.2.1, ITSG-33|AC-2c., LEVEL|1A, NESA|T5.2.1, NESA|T5.2.2, NIAv2|AM28, NIAv2|NS5j, NIAv2|SS14e, PCI-DSSv3.2.1|1.1.5, PCI-DSSv3.2.1|7.1.1, PCI-DSSv3.2.1|7.1.3, PCI-DSSv4.0|7.2.1, PCI-DSSv4.0|7.2.2, QCSC-v1|5.2.2, QCSC-v1|8.2.1, QCSC-v1|13.2, QCSC-v1|15.2</t>
  </si>
  <si>
    <t>6.2.2 Ensure /etc/shadow password fields are not empty</t>
  </si>
  <si>
    <t>'The command '/bin/awk -F : '($2 == "") { print $1 " does not have a password."}' /etc/shadow | /bin/awk '{print} END {if (NR == 0) print "none"}'' returned : 
awk: fatal: cannot open file `/etc/shadow' for reading (Permission denied)
none</t>
  </si>
  <si>
    <t>cmd: /bin/awk -F : '($2 == "") { print $1 " does not have a password."}' /etc/shadow | /bin/awk '{print} END {if (NR == 0) print "none"}'
expect: ^none$</t>
  </si>
  <si>
    <t>An account with an empty password field means that anybody may log in as that user without providing a password.
All accounts must have passwords or be locked to prevent the account from being used by an unauthorized user.</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</si>
  <si>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</si>
  <si>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6.2.11 Ensure local interactive user dot files access is configured</t>
  </si>
  <si>
    <t>The command script with multiple lines returned : 
find: '/root': Permission denied
- Audit Result:
  ** PASS **
 - * Correctly configured * :
  - No local interactive users home directories contain:
   - ".forward" or ".rhost" files
   - ".netrc" files with incorrect access configured
   - ".bash_history" files with incorrect access configured
   - "dot" files with incorrect access configured</t>
  </si>
  <si>
    <t>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last 500 commands.
User configuration files with excessive or incorrect access may enable malicious users to steal or modify other users' data or to gain another user's system privileges.</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</si>
  <si>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listforward andrhost files to be investigated and manually deleted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
 ** INFO **
 - \"$l_asize\" Local interactive users found on the system
 - This may be a long running check
"
   file_access_fix()
   {
      l_facout2=""
      l_max="$( printf '%o' $(( 0777 &amp; ~$l_mask)) )"
      if [ $(( $l_mode &amp; $l_mask )) -gt 0 ]; then
         echo -e " - File: \"$l_hdfile\" is mode: \"$l_mode\" and should be mode: \"$l_max\" or more restrictive
 - Changing to mode \"$l_max\""
         chmod "$l_chp" "$l_hdfile"
      fi
      if [[ ! "$l_owner" =~ ($l_user) ]]; then
         echo -e " - File: \"$l_hdfile\" owned by: \"$l_owner\" and should be owned by \"${l_user//|/ or }\"
 - Changing ownership to \"$l_user\""
         chown "$l_user" "$l_hdfile"
      fi
      if [[ ! "$l_gowner" =~ ($l_group) ]]; then
         echo -e " - File: \"$l_hdfile\" group owned by: \"$l_gowner\" and should be group owned by \"${l_group//|/ or }\"
 - Changing group ownership to \"$l_group\""
         chgrp "$l_group" "$l_hdfile"
      fi
   }
   while read -r l_user l_home; do
      if [ -d "$l_home" ]; then
         echo -e "
 - Checking user: \"$l_user\" home directory: \"$l_home\""
         l_group="$(id -gn "$l_user" | xargs)"
         l_group="${l_group// /|}"
         while IFS= read -r -d $'0' l_hdfile; do
            while read -r l_mode l_owner l_gowner; do
               case "$(basename "$l_hdfile")" in
                  .forward | .rhost )
                     echo -e " - File: \"$l_hdfile\" exists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
' "${a_uarr[@]}")"
   unset a_uarr # Remove array
}</t>
  </si>
  <si>
    <t>6.2.10 Ensure local interactive user home directories are configured</t>
  </si>
  <si>
    <t>The command script with multiple lines returned : 
- Audit Result:
  ** PASS **
 - * Correctly configured * :
  - All local interactive users:
   - home directories exist
   - own their home directory
   - home directories are mode: "750" or more restrictive</t>
  </si>
  <si>
    <t>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</si>
  <si>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
 ** INFO **
 - \"$l_asize\" Local interactive users found on the system
 - This may be a long running process
"
   while read -r l_user l_home; do
      if [ -d "$l_home" ]; then
         l_mask='0027'
         l_max="$( printf '%o' $(( 0777 &amp; ~$l_mask)) )"
         while read -r l_own l_mode; do
            if [ "$l_user" != "$l_own" ]; then
               l_output2="$l_output2
 - User: \"$l_user\" Home \"$l_home\" is owned by: \"$l_own\"
 - changing ownership to: \"$l_user\"
"
               chown "$l_user" "$l_home"
            fi
            if [ $(( $l_mode &amp; $l_mask )) -gt 0 ]; then
               l_output2="$l_output2
 - User: \"$l_user\" Home \"$l_home\" is mode: \"$l_mode\" should be mode: \"$l_max\" or more restrictive
 - removing excess permissions
"
               chmod g-w,o-rwx "$l_home"
            fi
         done &lt;&lt;&lt; "$(stat -Lc '%U %#a' "$l_home")"
      else
         l_output2="$l_output2
 - User: \"$l_user\" Home \"$l_home\" Doesn't exist
 - Please create a home in accordance with local site policy"
      fi
   done &lt;&lt;&lt; "$(printf '%s
' "${a_uarr[@]}")"
   if [ -z "$l_output2" ]; then # If l_output2 is empty, we pass
      echo -e " - No modification needed to local interactive users home directories"
   else
      echo -e "
$l_output2"
   fi
}</t>
  </si>
  <si>
    <t>6.2.1 Ensure accounts in /etc/passwd use shadowed passwords</t>
  </si>
  <si>
    <t>'The command '/bin/awk -F: '($2 != "x" ) { print $1 " is not set to shadowed passwords "}' /etc/passwd | /bin/awk '{print} END {if (NR == 0) print "none"}'' returned : 
none</t>
  </si>
  <si>
    <t>cmd: /bin/awk -F: '($2 != "x" ) { print $1 " is not set to shadowed passwords "}' /etc/passwd | /bin/awk '{print} END {if (NR == 0) print "none"}'
expect: ^none$</t>
  </si>
  <si>
    <t>Local accounts can use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t>
  </si>
  <si>
    <t>Run the following command to set accounts to use shadowed passwords and migrate passwords in /etc/passwd to /etc/shadow :
# pwconv
Investigate to determine if the account is logged in and what it is being used for, to determine if it needs to be forced off.</t>
  </si>
  <si>
    <t>6.1.9 Ensure permissions on /etc/shells are configured</t>
  </si>
  <si>
    <t>The file /etc/shells with fmode owner: root group: root mode: 0644 uid: 0 gid: 0 uneven permissions : FALSE is compliant with the policy value 
/etc/shells</t>
  </si>
  <si>
    <t>file: /etc/shells
group: root
mask: 133
owner: root</t>
  </si>
  <si>
    <t>/etc/shells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t>
  </si>
  <si>
    <t>Run the following commands to remove excess permissions, set owner, and set group on /etc/shells :
# chmod u-x,go-wx /etc/shells
# chown root:root /etc/shells</t>
  </si>
  <si>
    <t>6.1.8 Ensure permissions on /etc/gshadow- are configured</t>
  </si>
  <si>
    <t>The file /etc/gshadow- with fmode owner: root group: root mode: 0000 uid: 0 gid: 0 uneven permissions : FALSE is compliant with the policy value 
/etc/gshadow-</t>
  </si>
  <si>
    <t>file: /etc/gshadow-
group: root
mask: 777
owner: root</t>
  </si>
  <si>
    <t>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t>
  </si>
  <si>
    <t>Run the following commands to set mode, owner, and group on /etc/gshadow- :
# chown root:root /etc/gshadow-
# chmod 0000 /etc/gshadow-</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</si>
  <si>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CSCv7|16.4,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</si>
  <si>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6.1.7 Ensure permissions on /etc/gshadow are configured</t>
  </si>
  <si>
    <t>The file /etc/gshadow with fmode owner: root group: root mode: 0000 uid: 0 gid: 0 uneven permissions : FALSE is compliant with the policy value 
/etc/gshadow</t>
  </si>
  <si>
    <t>file: /etc/gshadow
group: root
mask: 777
owner: root</t>
  </si>
  <si>
    <t>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</si>
  <si>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Run the following commands to set mode, owner, and group on /etc/gshadow :
# chown root:root /etc/gshadow
# chmod 0000 /etc/gshadow</t>
  </si>
  <si>
    <t>6.1.6 Ensure permissions on /etc/shadow- are configured</t>
  </si>
  <si>
    <t>The file /etc/shadow- with fmode owner: root group: root mode: 0000 uid: 0 gid: 0 uneven permissions : FALSE is compliant with the policy value 
/etc/shadow-</t>
  </si>
  <si>
    <t>file: /etc/shadow-
group: root
mask: 777
owner: root</t>
  </si>
  <si>
    <t>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t>
  </si>
  <si>
    <t>Run the following commands to set mode, owner, and group on /etc/shadow- :
# chown root:root /etc/shadow-
# chmod 0000 /etc/shadow-</t>
  </si>
  <si>
    <t>6.1.5 Ensure permissions on /etc/shadow are configured</t>
  </si>
  <si>
    <t>The file /etc/shadow with fmode owner: root group: root mode: 0000 uid: 0 gid: 0 uneven permissions : FALSE is compliant with the policy value 
/etc/shadow</t>
  </si>
  <si>
    <t>file: /etc/shadow
group: root
mask: 777
owner: root</t>
  </si>
  <si>
    <t>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</si>
  <si>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Run the following commands to set mode, owner, and group on /etc/shadow :
# chown root:root /etc/shadow
# chmod 0000 /etc/shadow</t>
  </si>
  <si>
    <t>6.1.4 Ensure permissions on /etc/group- are configured</t>
  </si>
  <si>
    <t>The file /etc/group- with fmode owner: root group: root mode: 0644 uid: 0 gid: 0 uneven permissions : FALSE is compliant with the policy value 
/etc/group-</t>
  </si>
  <si>
    <t>file: /etc/group-
group: root
mask: 133
owner: root</t>
  </si>
  <si>
    <t>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t>
  </si>
  <si>
    <t>Run the following commands to remove excess permissions, set owner, and set group on /etc/group- :
# chmod u-x,go-wx /etc/group-
# chown root:root /etc/group-</t>
  </si>
  <si>
    <t>6.1.3 Ensure permissions on /etc/group are configured</t>
  </si>
  <si>
    <t>The file /etc/group with fmode owner: root group: root mode: 0644 uid: 0 gid: 0 uneven permissions : FALSE is compliant with the policy value 
/etc/group</t>
  </si>
  <si>
    <t>file: /etc/group
group: root
mask: 133
owner: root</t>
  </si>
  <si>
    <t>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t>
  </si>
  <si>
    <t>Run the following commands to remove excess permissions, set owner, and set group on /etc/group :
# chmod u-x,go-wx /etc/group
# chown root:root /etc/group</t>
  </si>
  <si>
    <t>6.1.2 Ensure permissions on /etc/passwd- are configured</t>
  </si>
  <si>
    <t>The file /etc/passwd- with fmode owner: root group: root mode: 0644 uid: 0 gid: 0 uneven permissions : FALSE is compliant with the policy value 
/etc/passwd-</t>
  </si>
  <si>
    <t>file: /etc/passwd-
group: root
mask: 133
owner: root</t>
  </si>
  <si>
    <t>The /etc/passwd- file contains backup user account information.
It is critical to ensure that the /etc/passwd- file is protected from unauthorized access. Although it is protected by default, the file permissions could be changed either inadvertently or through malicious actions.</t>
  </si>
  <si>
    <t>Run the following commands to remove excess permissions, set owner, and set group on /etc/passwd- :
# chmod u-x,go-wx /etc/passwd-
# chown root:root /etc/passwd-</t>
  </si>
  <si>
    <t>6.1.12 Ensure no unowned or ungrouped files or directories exist</t>
  </si>
  <si>
    <t>name: find_orphan_files</t>
  </si>
  <si>
    <t>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t>
  </si>
  <si>
    <t>Remove or set ownership and group ownership of these files and/or directories to an active user on the system as appropriate.</t>
  </si>
  <si>
    <t>6.1.11 Ensure world writable files and directories are secured</t>
  </si>
  <si>
    <t>name: find_world_writeable_files</t>
  </si>
  <si>
    <t>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</si>
  <si>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a_path=(); a_arr=() # Initialize array
   a_path=(! -path "/run/user/*" -a ! -path "/proc/*" -a ! -path "*/containerd/*" -a ! -path "*/kubelet/pods/*" -a ! -path "/sys/kernel/security/apparmor/*" -a ! -path "/snap/*" -a ! -path "/sys/fs/cgroup/memory/*" -a ! -path "/sys/fs/selinux/*")
   while read -r l_bfs; do
      a_path+=( -a ! -path ""$l_bfs"/*")
   done &lt; &lt;(findmnt -Dkerno fstype,target | awk '$1 ~ /^s*(nfs|proc|smb)/ {print $2}')
   # Populate array with files
   while IFS= read -r -d $'0' l_file; do
      [ -e "$l_file" ] &amp;&amp; a_arr+=("$(stat -Lc '%n^%#a' "$l_file")")
   done &lt; &lt;(find / ( "${a_path[@]}" ) ( -type f -o -type d ) -perm -0002 -print0 2&gt;/dev/null)
   while IFS="^" read -r l_fname l_mode; do # Test files in the array
      if [ -f "$l_fname" ]; then # Remove excess permissions from WW files
         echo -e " - File: \"$l_fname\" is mode: \"$l_mode\"
 - removing write permission on \"$l_fname\" from \"other\""
         chmod o-w "$l_fname"
      fi
      if [ -d "$l_fname" ]; then
         if [ ! $(( $l_mode &amp; $l_smask )) -gt 0 ]; then # Add sticky bit
            echo -e " - Directory: \"$l_fname\" is mode: \"$l_mode\" and doesn't have the sticky bit set
 - Adding the sticky bit"
            chmod a+t "$l_fname"
         fi
      fi
   done &lt; &lt;(printf '%s
' "${a_arr[@]}")
   unset a_path; unset a_arr # Remove array
}</t>
  </si>
  <si>
    <t>6.1.10 Ensure permissions on /etc/security/opasswd are configured</t>
  </si>
  <si>
    <t>All of the following must pass to satisfy this requirement:
-------------------------
PASSED - etc/security/opasswd file permissions
The file /etc/security/opasswd with fmode owner: root group: root mode: 0600 uid: 0 gid: 0 uneven permissions : FALSE is compliant with the policy value 
/etc/security/opasswd
-------------------------
PASSED - /etc/security/opasswd.old file permissions</t>
  </si>
  <si>
    <t>/etc/security/opasswd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</si>
  <si>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</si>
  <si>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6.1.1 Ensure permissions on /etc/passwd are configured</t>
  </si>
  <si>
    <t>The file /etc/passwd with fmode owner: root group: root mode: 0644 uid: 0 gid: 0 uneven permissions : FALSE is compliant with the policy value 
/etc/passwd</t>
  </si>
  <si>
    <t>file: /etc/passwd
group: root
mask: 133
owner: root</t>
  </si>
  <si>
    <t>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t>
  </si>
  <si>
    <t>Run the following commands to remove excess permissions, set owner, and set group on /etc/passwd :
# chmod u-x,go-wx /etc/passwd
# chown root:root /etc/passwd</t>
  </si>
  <si>
    <t>5.1.2.6 Ensure journald log rotation is configured per site policy</t>
  </si>
  <si>
    <t>Journald includes the capability of rotating log files regularly to avoid filling up the system with logs or making the logs unmanageably large. The file /etc/systemd/journald.conf is the configuration file used to specify how logs generated by Journald should be rotated.
By keeping the log files smaller and more manageable, a system administrator can easily archive these files to another system and spend less time looking through inordinately large log files.</t>
  </si>
  <si>
    <t>Review /etc/systemd/journald.conf and verify logs are rotated according to site policy. The settings should be carefully understood as there are specific edge cases and prioritization of parameters.
The specific parameters for log rotation are:
SystemMaxUse=
SystemKeepFree=
RuntimeMaxUse=
RuntimeKeepFree=
MaxFileSec=</t>
  </si>
  <si>
    <t>5.1.2.5 Ensure journald is not configured to send logs to rsyslog</t>
  </si>
  <si>
    <t>Data from journald should be kept in the confines of the service and not forwarded on to other services.
IF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</si>
  <si>
    <t>Edit the /etc/systemd/journald.conf file and ensure that ForwardToSyslog=yes is removed.
Restart the service:
# systemctl systemctl reload-or-try-restart systemd-journald.service</t>
  </si>
  <si>
    <t>5.1.2.4 Ensure journald is configured to write logfiles to persistent disk</t>
  </si>
  <si>
    <t>Data from journald may be stored in volatile memory or persisted locally on the server. Logs in memory will be lost upon a system reboot. By persisting logs to local disk on the server they are protected from loss due to a reboot.
Writing log data to disk will provide the ability to forensically reconstruct events which may have impacted the operations or security of a system even after a system crash or reboot.</t>
  </si>
  <si>
    <t>Edit the /etc/systemd/journald.conf file and add the following line:
Storage=persistent
Restart the service:
# systemctl restart systemd-journald.service</t>
  </si>
  <si>
    <t>5.1.2.3 Ensure journald is configured to compress large log files</t>
  </si>
  <si>
    <t>The journald system includes the capability of compressing overly large files to avoid filling up the system with logs or making the logs unmanageably large.
Uncompressed large files may unexpectedly fill a filesystem leading to resource unavailability. Compressing logs prior to write can prevent sudden, unexpected filesystem impacts.</t>
  </si>
  <si>
    <t>Edit the /etc/systemd/journald.conf file and add the following line:
Compress=yes
Restart the service:
# systemctl restart systemd-journald.service</t>
  </si>
  <si>
    <t>800-171|3.3.1, 800-171|3.3.2, 800-171|3.3.6, 800-171r3|03.03.01, 800-171r3|03.03.03, 800-171r3|03.03.06a., 800-53|AU-2, 800-53|AU-4, 800-53|AU-7, 800-53|AU-12, 800-53r5|AU-2, 800-53r5|AU-4, 800-53r5|AU-7, 800-53r5|AU-12, CN-L3|7.1.2.3(c), CN-L3|8.1.4.3(a), CSCv7|6.2, CSCv7|6.3, CSCv7|6.4, CSCv8|8.2, CSCv8|8.3, CSF|DE.CM-1, CSF|DE.CM-3, CSF|DE.CM-7, CSF|PR.DS-4, CSF|PR.PT-1, CSF|RS.AN-3, CSF2.0|DE.CM-01, CSF2.0|DE.CM-03, CSF2.0|DE.CM-09, CSF2.0|PR.PS-04, CSF2.0|RS.AN-03, CSF2.0|RS.AN-06, CSF2.0|RS.AN-07, GDPR|32.1.b, HIPAA|164.306(a)(1), HIPAA|164.312(b), ISO-27001-2022|A.8.6, ISO-27001-2022|A.8.15, ITSG-33|AU-2, ITSG-33|AU-4, ITSG-33|AU-7, ITSG-33|AU-12, LEVEL|1A, NESA|M1.2.2, NESA|M5.5.1, NESA|T3.3.1, NESA|T3.6.2, NIAv2|AM7, NIAv2|AM11a, NIAv2|AM11b, NIAv2|AM11c, NIAv2|AM11d, NIAv2|AM11e, NIAv2|SS30, NIAv2|VL8, PCI-DSSv3.2.1|10.1, QCSC-v1|3.2, QCSC-v1|6.2, QCSC-v1|8.2.1, QCSC-v1|10.2.1, QCSC-v1|11.2, QCSC-v1|13.2, SWIFT-CSCv1|6.4</t>
  </si>
  <si>
    <t>5.1.2.2 Ensure journald service is enabled</t>
  </si>
  <si>
    <t>Ensure that the systemd-journald service is enabled to allow capturing of logging events.
If the systemd-journald service is not enabled to start on boot, the system will not capture logging events.</t>
  </si>
  <si>
    <t>By default the systemd-journald service does not have an [Install] section and thus cannot be enabled / disabled. It is meant to be referenced as Requires or Wants by other unit files. As such, if the status of systemd-journald is not static investigate why.</t>
  </si>
  <si>
    <t>5.1.2.1.4 Ensure journald is not configured to receive logs from a remote client</t>
  </si>
  <si>
    <t>Journald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
If a client is configured to also receive data, thus turning it into a server, the client system is acting outside it's operational boundary.</t>
  </si>
  <si>
    <t>Run the following command to disable systemd-journal-remote.socket :
# systemctl --now mask systemd-journal-remote.socket</t>
  </si>
  <si>
    <t>800-171|3.3.1, 800-171|3.3.2, 800-171|3.3.6, 800-171|3.4.2, 800-171|3.4.6, 800-171|3.4.7, 800-171r3|03.03.01, 800-171r3|03.03.03, 800-171r3|03.03.06a., 800-171r3|03.04.02, 800-171r3|03.04.06, 800-53|AU-2, 800-53|AU-7, 800-53|AU-12, 800-53|CM-6, 800-53|CM-7, 800-53r5|AU-2, 800-53r5|AU-7, 800-53r5|AU-12, 800-53r5|CM-6, 800-53r5|CM-7, CN-L3|7.1.2.3(c), CN-L3|8.1.4.3(a), CSCv7|6.2, CSCv7|6.3, CSCv7|9.2, CSCv8|4.8, CSCv8|8.2, CSF|DE.CM-1, CSF|DE.CM-3, CSF|DE.CM-7, CSF|PR.IP-1, CSF|PR.PT-1, CSF|PR.PT-3, CSF|RS.AN-3, CSF2.0|DE.CM-01, CSF2.0|DE.CM-03, CSF2.0|DE.CM-09, CSF2.0|PR.PS-01, CSF2.0|PR.PS-04, CSF2.0|RS.AN-03, CSF2.0|RS.AN-06, CSF2.0|RS.AN-07, GDPR|32.1.b, HIPAA|164.306(a)(1), HIPAA|164.312(b), ISO-27001-2022|A.8.9, ISO-27001-2022|A.8.15, ITSG-33|AU-2, ITSG-33|AU-7, ITSG-33|AU-12, ITSG-33|CM-6, ITSG-33|CM-7, LEVEL|1A, NESA|M1.2.2, NESA|M5.5.1, NIAv2|AM7, NIAv2|AM11a, NIAv2|AM11b, NIAv2|AM11c, NIAv2|AM11d, NIAv2|AM11e, NIAv2|SS15a, NIAv2|SS30, NIAv2|VL8, PCI-DSSv3.2.1|2.2.2, PCI-DSSv3.2.1|10.1, QCSC-v1|3.2, QCSC-v1|6.2, QCSC-v1|8.2.1, QCSC-v1|10.2.1, QCSC-v1|11.2, QCSC-v1|13.2, SWIFT-CSCv1|2.3, SWIFT-CSCv1|6.4</t>
  </si>
  <si>
    <t>5.1.2.1.3 Ensure systemd-journal-remote is enabled</t>
  </si>
  <si>
    <t>Journald (via systemd-journal-remote )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t>
  </si>
  <si>
    <t>Run the following command to enable systemd-journal-remote :
# systemctl --now enable systemd-journal-upload.service</t>
  </si>
  <si>
    <t>5.1.2.1.2 Ensure systemd-journal-remote is configured</t>
  </si>
  <si>
    <t>Edit the /etc/systemd/journal-upload.conf file and ensure the following lines are set per your environment:
URL=192.168.50.42
ServerKeyFile=/etc/ssl/private/journal-upload.pem
ServerCertificateFile=/etc/ssl/certs/journal-upload.pem
TrustedCertificateFile=/etc/ssl/ca/trusted.pem
Restart the service:
# systemctl restart systemd-journal-upload</t>
  </si>
  <si>
    <t>5.1.2.1.1 Ensure systemd-journal-remote is installed</t>
  </si>
  <si>
    <t>Run the following command to install system-journal-gateway :
# yum install system-journal-gateway</t>
  </si>
  <si>
    <t>5.1.1.7 Ensure rsyslog is not configured to receive logs from a remote client</t>
  </si>
  <si>
    <t>All of the following must pass to satisfy this requirement:
-------------------------
WARNING - Manual Review Required - Old format ModLoad imtcp
No matching files were found
-------------------------
WARNING - Manual Review Required - Old format InputTCPServerRun
No matching files were found
-------------------------
WARNING - Manual Review Required - New format input imtcp
No matching files were found
-------------------------
WARNING - Manual Review Required - New format module load imtcp
No matching files were found</t>
  </si>
  <si>
    <t>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NOTE: Nessus has provided the target output to assist in reviewing the benchmark to ensure target compliance.</t>
  </si>
  <si>
    <t>Should there be any active log server configuration found in the auditing section, modify those files and remove the specific lines highlighted by the audit. Ensure none of the following entries are present in any of /etc/rsyslog.conf or /etc/rsyslog.d/*.conf
New format
module(load="imtcp")
input(type="imtcp" port="514")
- OR -
Old format
$ModLoad imtcp
$InputTCPServerRun
Restart the service:
# systemctl restart rsyslog</t>
  </si>
  <si>
    <t>5.1.1.6 Ensure rsyslog is configured to send logs to a remote log host</t>
  </si>
  <si>
    <t>'One of the following must pass to satisfy this requirement:
-------------------------
PASSED - rsyslog new format
Compliant file(s):
      /etc/rsyslog.conf - regex not found
      /etc/rsyslog.d/50-essential-facilities.conf - regex not found
      /etc/rsyslog.d/50-remote-logging.conf - regex '^\s*([^#]+\s+)?action\(([^#]+\s+)?\btarget=\"?[^#"]+\"?\b' found - expect '^\s*([^#]+\s+)?action\(([^#]+\s+)?\btarget=\"?[^#"]+\"?\b' found in the following lines:
          4: *.* action(type="omfwd" target="192.168.2.100" port="514" protocol="tcp"
      /etc/rsyslog.d/listen.conf - regex not found
-------------------------
FAILED - rsyslog old format
No matching files were found
Less than 1 matches of regex found</t>
  </si>
  <si>
    <t>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t>
  </si>
  <si>
    <t>Edit the /etc/rsyslog.conf and /etc/rsyslog.d/*.conf files and add the following line (where loghost.example.com is the name of your central log host). The target directive may either be a fully qualified domain name or an IP address.
*.* action(type="omfwd" target="192.168.2.100" port="514" protocol="tcp"
           action.resumeRetryCount="100"
           queue.type="LinkedList" queue.size="1000")
Run the following command to reload the rsyslogd configuration:
# systemctl restart rsyslog</t>
  </si>
  <si>
    <t>5.1.1.4 Ensure rsyslog default file permissions are configured</t>
  </si>
  <si>
    <t>Compliant file(s):
      /etc/rsyslog.conf - regex '^[\s]*\$FileCreateMode' found - expect '\$FileCreateMode 0[0246][024]0[\s]*$' found in the following lines:
          93: $FileCreateMode 0640
      /etc/rsyslog.d/50-essential-facilities.conf - regex not found
      /etc/rsyslog.d/50-remote-logging.conf - regex not found
      /etc/rsyslog.d/listen.conf - regex not found</t>
  </si>
  <si>
    <t>expect: \$FileCreateMode 0[0246][024]0[\s]*$
file: /etc/rsyslog.conf /etc/rsyslog.d/*.conf
min_occurrences: 1
regex: ^[\s]*\$FileCreateMode
string_required: NO</t>
  </si>
  <si>
    <t>RSyslog will create logfiles that do not already exist on the system. This setting controls what permissions will be applied to these newly created files.
It is important to ensure that log files have the correct permissions to ensure that sensitive data is archived and protected.</t>
  </si>
  <si>
    <t>Edit either /etc/rsyslog.conf or a dedicatedconf file in /etc/rsyslog.d/ and set $FileCreateMode to 0640 or more restrictive:
$FileCreateMode 0640
Restart the service:
# systemctl restart rsyslog
Impact:
The systems global umask could override, but only making the file permissions stricter, what is configured in RSyslog with the FileCreateMode directive. RSyslog also has its own $umask directive that can alter the intended file creation mode. In addition, consideration should be given to how FileCreateMode is used.
Thus it is critical to ensure that the intended file creation mode is not overridden with less restrictive settings in /etc/rsyslog.conf /etc/rsyslog.d/*conf files and that FileCreateMode is set before any file is created.</t>
  </si>
  <si>
    <t>800-171|3.1.1, 800-171|3.1.4, 800-171|3.1.5, 800-171|3.3.1, 800-171|3.3.2, 800-171|3.3.6, 800-171|3.8.1, 800-171|3.8.2, 800-171|3.8.3, 800-171r3|03.01.02, 800-171r3|03.01.04, 800-171r3|03.01.05a., 800-171r3|03.03.01, 800-171r3|03.03.03, 800-171r3|03.03.06a., 800-171r3|03.08.02, 800-53|AC-3, 800-53|AC-5, 800-53|AC-6, 800-53|AU-2, 800-53|AU-7, 800-53|AU-12, 800-53|MP-2, 800-53r5|AC-3, 800-53r5|AC-5, 800-53r5|AC-6, 800-53r5|AU-2, 800-53r5|AU-7, 800-53r5|AU-12, 800-53r5|MP-2, CN-L3|7.1.2.3(c), CN-L3|7.1.3.2(b), CN-L3|7.1.3.2(g), CN-L3|8.1.4.2(d), CN-L3|8.1.4.2(f), CN-L3|8.1.4.3(a), CN-L3|8.1.4.11(b), CN-L3|8.1.10.2(c), CN-L3|8.1.10.6(a), CN-L3|8.5.3.1, CN-L3|8.5.4.1(a), CSCv7|5.1, CSCv7|6.2, CSCv7|6.3, CSCv8|3.3, CSCv8|8.2, CSF|DE.CM-1, CSF|DE.CM-3, CSF|DE.CM-7, CSF|PR.AC-4, CSF|PR.DS-5, CSF|PR.PT-1, CSF|PR.PT-2, CSF|PR.PT-3, CSF|RS.AN-3, CSF2.0|DE.CM-01, CSF2.0|DE.CM-03, CSF2.0|DE.CM-09, CSF2.0|PR.AA-05, CSF2.0|PR.DS-10, CSF2.0|PR.IR-01, CSF2.0|PR.PS-04, CSF2.0|RS.AN-03, CSF2.0|RS.AN-06, CSF2.0|RS.AN-07, GDPR|32.1.b, HIPAA|164.306(a)(1), HIPAA|164.312(a)(1), HIPAA|164.312(b), ISO-27001-2022|A.5.3, ISO-27001-2022|A.5.10, ISO-27001-2022|A.5.15, ISO-27001-2022|A.5.33, ISO-27001-2022|A.7.7, ISO-27001-2022|A.7.10, ISO-27001-2022|A.8.2, ISO-27001-2022|A.8.3, ISO-27001-2022|A.8.15, ISO-27001-2022|A.8.18, ISO-27001-2022|A.8.20, ISO/IEC-27001|A.6.1.2, ISO/IEC-27001|A.9.4.1, ISO/IEC-27001|A.9.4.5, ITSG-33|AC-3, ITSG-33|AC-5, ITSG-33|AC-6, ITSG-33|AU-2, ITSG-33|AU-7, ITSG-33|AU-12, ITSG-33|MP-2, ITSG-33|MP-2a., LEVEL|1A, NESA|M1.2.2, NESA|M5.5.1, NESA|T1.3.2, NESA|T1.3.3, NESA|T1.4.1, NESA|T4.2.1, NESA|T5.1.1, NESA|T5.2.2, NESA|T5.4.1, NESA|T5.4.4, NESA|T5.4.5, NESA|T5.5.4, NESA|T5.6.1, NESA|T7.5.2, NESA|T7.5.3, NIAv2|AM1, NIAv2|AM3, NIAv2|AM7, NIAv2|AM11a, NIAv2|AM11b, NIAv2|AM11c, NIAv2|AM11d, NIAv2|AM11e, NIAv2|AM23f, NIAv2|SS13c, NIAv2|SS15c, NIAv2|SS29, NIAv2|SS30, NIAv2|VL8, PCI-DSSv3.2.1|7.1.2, PCI-DSSv3.2.1|10.1, PCI-DSSv4.0|7.2.1, PCI-DSSv4.0|7.2.2, QCSC-v1|3.2, QCSC-v1|5.2.2, QCSC-v1|6.2, QCSC-v1|8.2.1, QCSC-v1|10.2.1, QCSC-v1|11.2, QCSC-v1|13.2, SWIFT-CSCv1|5.1, SWIFT-CSCv1|6.4, TBA-FIISB|31.1, TBA-FIISB|31.4.2, TBA-FIISB|31.4.3</t>
  </si>
  <si>
    <t>5.1.1.2 Ensure rsyslog service is enabled</t>
  </si>
  <si>
    <t>'The command '/bin/systemctl is-enabled rsyslog | /bin/awk '{print} END {if(NR==0) print "disabled" }'' returned : 
enabled</t>
  </si>
  <si>
    <t>cmd: /bin/systemctl is-enabled rsyslog | /bin/awk '{print} END {if(NR==0) print "disabled" }'
expect: ^enabled$</t>
  </si>
  <si>
    <t>Once the rsyslog package is installed, ensure that the service is enabled.
If the rsyslog service is not enabled to start on boot, the system will not capture logging events.</t>
  </si>
  <si>
    <t>Run the following command to enable rsyslog :
# systemctl --now enable rsyslog</t>
  </si>
  <si>
    <t>5.1.1.1 Ensure rsyslog is installed</t>
  </si>
  <si>
    <t>The local RPM is newer than rsyslog-0.0.0-0 (rsyslog-8.24.0-57.0.3.el7_9.3)</t>
  </si>
  <si>
    <t>operator: gt
required: YES
rpm: rsyslog-0.0.0-0</t>
  </si>
  <si>
    <t>The rsyslog software is recommended in environments where journald does not meet operation requirements.
The security enhancements of rsyslog such as connection-oriented (i.e. TCP) transmission of logs, the option to log to database formats, and the encryption of log data en route to a central logging server) justify installing and configuring the package.</t>
  </si>
  <si>
    <t>Run the following command to install rsyslog :
# yum install rsyslog</t>
  </si>
  <si>
    <t>4.5.3.3 Ensure default user umask is configured</t>
  </si>
  <si>
    <t>The command script with multiple lines returned : 
- Audit Result:
  ** PASS **
 - * Correctly configured * :
 - umask is set correctly in "/etc/profile.d/50-systemwide_umask.sh"
 - umask is set correctly in "/etc/login.defs"</t>
  </si>
  <si>
    <t>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The default umask can be set to use the pam_umask module or in a System Wide Shell Configuration File The user creating the directories or files has the discretion of changing the permissions via the chmod command, or choosing a different default umask by adding the umask command into a User Shell Configuration File (bash_profile orbashrc ),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 /etc/profile - used to set system wide environmental variables on users shells. The variables are sometimes the same ones that are in thebash_profile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ofbashrc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 A file in /etc/profile.d/ ending insh - This will override any other system-wide umask setting
 - In the file /etc/profile
 - On the pam_umask.so module in /etc/pam.d/postlogin
 - In the file /etc/login.defs
 - In the file /etc/default/login
Setting a secure default value for umask ensures that users make a conscious choice about their file permissions. A permissive umask value could result in directories or files with excessive permissions that can be read and/or written to by unauthorized users.</t>
  </si>
  <si>
    <t>Run the following script and perform the instructions in the output:
#!/usr/bin/env bash
{
   l_output="" l_output2="" l_out=""
   file_umask_chk()
   {
      if grep -Psiq -- '^h*umaskh+(0?[0-7][2-7]7|u(=[rwx]{0,3}),g=([rx]{0,2}),o=)(h*#.*)?$' "$l_file"; then
         l_out="$l_out
 - umask is set correctly in \"$l_file\""
      elif grep -Psiq -- '^h*umaskh+(([0-7][0-7][01][0-7]b|[0-7][0-7][0-7][0-6]b)|([0-7][01][0-7]b|[0-7][0-7][0-6]b)|(u=[rwx]{1,3},)?(((g=[rx]?[rx]?w[rx]?[rx]?b)(,o=[rwx]{1,3})?)|((g=[wrx]{1,3},)?o=[wrx]{1,3}b)))' "$l_file"; then
         l_output2="$l_output2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
r]+h+pam_umask.soh+([^#
r]+h+)?umask=(([0-7][0-7][01][0-7]b|[0-7][0-7][0-7][0-6]b)|([0-7][01][0-7]b))' "$l_file"; then
      l_output2="$l_output2
 - \"$l_file\""
   fi
   l_file="/etc/login.defs" &amp;&amp; file_umask_chk
   l_file="/etc/default/login" &amp;&amp; file_umask_chk
   if [ -z "$l_output2" ]; then
      echo -e " - No files contain a UMASK that is not restrictive enough
 No UMASK updates required to existing files"
   else
      echo -e "
 - UMASK is not restrictive enough in the following file(s):$l_output2
- Remediation Procedure:
 - Update these files and comment out the UMASK line
 or update umask to be \"0027\" or more restrictive"
   fi
   if [ -n "$l_output" ]; then
      echo -e "$l_output"
   else
      echo -e " - Configure UMASK in a file in the \"/etc/profile.d/\" directory ending in \".sh\"
 Example Command (Hash to represent being run at a root prompt):
# printf '%s\
' \"umask 027\" &gt; /etc/profile.d/50-systemwide_umask.sh
"
   fi
}
Note: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</si>
  <si>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4.5.3.2 Ensure default user shell timeout is configured</t>
  </si>
  <si>
    <t>The command script with multiple lines returned : 
PASSED
TMOUT is configured in: "/etc/profile"</t>
  </si>
  <si>
    <t>cmd: multiple line script
dont_echo_cmd: NO
expect: (?i)^[\s]*\**[\s]*passed:?[\s]*\**$</t>
  </si>
  <si>
    <t>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ofbashrc In Fedora derived distributions, /etc/bashrc also invokes /etc/profile.d/*.sh if
non-login
shell, but redirects output to /dev/null if
non-interactive.
Is only executed for
interactive
shells or if BASH_ENV is set to /etc/bashrc
Setting a timeout value reduces the window of opportunity for unauthorized user access to another user's shell session that has been left unattended. It also ends the inactive session and releases the resources associated with that session.</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</si>
  <si>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insh
 - /etc/profile
 - /etc/bashrc
TMOUT configuration examples:
 - As multiple lines:
TMOUT=900
readonly TMOUT
export TMOUT
 - As a single line:
readonly TMOUT=900 ; export TMOUT</t>
  </si>
  <si>
    <t>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t>
  </si>
  <si>
    <t>4.5.2.1 Ensure default group for the root account is GID 0</t>
  </si>
  <si>
    <t>Compliant file(s):
      /etc/passwd - regex '^root:' found - expect '^root:x:0:0:' found in the following lines:
          1: root:x:0:0:root:/root:/bin/bash</t>
  </si>
  <si>
    <t>expect: ^root:x:0:0:
file: /etc/passwd
regex: ^root:</t>
  </si>
  <si>
    <t>The usermod command can be used to specify which group the root account belongs to. This affects permissions of files that are created by the root account.
Using GID 0 for the root account helps prevent root -owned files from accidentally becoming accessible to non-privileged users.</t>
  </si>
  <si>
    <t>Run the following command to set the root user's default group ID to 0 :
# usermod -g 0 root</t>
  </si>
  <si>
    <t>4.5.1.5 Ensure all users last password change date is in the past</t>
  </si>
  <si>
    <t>The command script with multiple lines returned : 
awk: fatal: cannot open file `/etc/shadow' for reading (Permission denied)
Pass</t>
  </si>
  <si>
    <t>All users should have a password change date in the past.
If a user's recorded password change date is in the future, then they could bypass any set password expiration.</t>
  </si>
  <si>
    <t>Investigate any users with a password change date in the future and correct them. Locking the account, expiring the password, or resetting the password manually may be appropriate.</t>
  </si>
  <si>
    <t>4.5.1.1 Ensure strong password hashing algorithm is configured</t>
  </si>
  <si>
    <t>'All of the following must pass to satisfy this requirement:
-------------------------
PASSED - Ensure at least one file named /etc/login.defs exists and matches pattern
Compliant file(s):
      /etc/login.defs - regex '(?i)^\h*ENCRYPT_METHOD\h+(SHA512|YESCRYPT)\b' found - expect '(?i)^\h*ENCRYPT_METHOD\h+(SHA512|YESCRYPT)\b' found in the following lines:
          71: ENCRYPT_METHOD SHA512
-------------------------
PASSED - Ensure at least one file named /etc/libuser.conf exists and matches pattern
Compliant file(s):
      /etc/libuser.conf - regex '(?i)^\h*crypt_style\h*=\h*(sha512|yescrypt)\b' found - expect '(?i)^\h*crypt_style\h*=\h*(sha512|yescrypt)\b' found in the following lines:
          20: crypt_style = sha512</t>
  </si>
  <si>
    <t>A cryptographic hash function converts an arbitrary-length input into a fixed length output. Password hashing performs a one-way transformation of a password, turning the password into another string, called the hashed password.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</si>
  <si>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Note: If yescrypt becomes available in a future release, this would also be acceptable. It is highly recommended that the chosen hashing algorithm is consistent across /etc/libuser.conf /etc/login.defs /etc/pam.d/password-auth and /etc/pam.d/system-auth
Set password hashing algorithm to sha512.
Edit /etc/libuser.conf and edit or add the following line:
crypt_style = sha512
Edit /etc/login.defs and edit or add the following line:
ENCRYPT_METHOD SHA512
Note: This only effects local users and passwords created after updating the files to use sha512 or yescrypt If it is determined that the password algorithm being used is not sha512 or yescrypt once it is changed, it is recommended that all group passwords be updated to use the stronger hashing algorithm.</t>
  </si>
  <si>
    <t>4.4.1.2 Ensure libpwquality is installed</t>
  </si>
  <si>
    <t>The local RPM is newer than libpwquality-0.0.0-0 (libpwquality-1.2.3-5.el7)</t>
  </si>
  <si>
    <t>operator: gt
required: YES
rpm: libpwquality-0.0.0-0</t>
  </si>
  <si>
    <t>The libpwquality package provides common functions for password quality checking
Strong passwords reduce the risk of systems being hacked through brute force methods.</t>
  </si>
  <si>
    <t>Run the following command to install libpwquality :
# yum install libpwquality</t>
  </si>
  <si>
    <t>4.4.1.1 Ensure latest version of pam is installed</t>
  </si>
  <si>
    <t>The local RPM is newer than pam-1.1.8-23 (pam-1.1.8-23.0.1.el7)</t>
  </si>
  <si>
    <t>operator: gte
rpm: pam-1.1.8-23</t>
  </si>
  <si>
    <t>Updated versions of PAM include additional functionality
To ensure the system has full functionality and access to the options covered by this Benchmark, pam-1.3.1-25 or latter is required</t>
  </si>
  <si>
    <t>- IF - the version of PAM on the system is less that version pam-1.1.8-23. :
Run the following command to update to the latest version of PAM :
# yum upgrade pam</t>
  </si>
  <si>
    <t>800-171|3.5.1, 800-171r3|03.05.01a., 800-53|IA-2(11), 800-53r5|IA-2(6), CN-L3|8.1.4.1(d), CSF|PR.AC-1, CSF2.0|PR.AA-01, CSF2.0|PR.AA-03, GDPR|32.1.b, HIPAA|164.306(a)(1), HIPAA|164.312(a)(2)(i), HIPAA|164.312(d), ISO-27001-2022|A.5.16, ITSG-33|IA-2(100), LEVEL|1A, NESA|T5.4.2, NIAv2|AM2, NIAv2|AM8, NIAv2|AM14b, PCI-DSSv3.2.1|8.3, PCI-DSSv3.2.1|8.3.1, PCI-DSSv3.2.1|8.3.2, PCI-DSSv4.0|8.4.1, PCI-DSSv4.0|8.4.3, QCSC-v1|5.2.2, QCSC-v1|13.2, SWIFT-CSCv1|4.2, TBA-FIISB|35.1, TBA-FIISB|36.1</t>
  </si>
  <si>
    <t>4.3.6 Ensure sudo authentication timeout is configured correctly</t>
  </si>
  <si>
    <t>One of the following must pass to satisfy this requirement:
-------------------------
FAILED - sudo timeout
The command '/bin/sudo -V | /bin/grep 'Authentication timestamp timeout:'' did not return any result
-------------------------
PASSED - On disk timestamp_timeout
No matching files were found</t>
  </si>
  <si>
    <t>sudo caches used credentials for a default of 5 minutes. This is for ease of use when there are multiple administrative tasks to perform. The timeout can be modified to suit local security policies.
Setting a timeout value reduces the window of opportunity for unauthorized privileged access to another user.</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</si>
  <si>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</si>
  <si>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4.3.1 Ensure sudo is installed</t>
  </si>
  <si>
    <t>The local RPM is newer than sudo-0.0.0-0 (sudo-1.8.23-10.el7_9.3)</t>
  </si>
  <si>
    <t>operator: gt
required: YES
rpm: sudo-0.0.0-0</t>
  </si>
  <si>
    <t>sudo allows a permitted user to execute a command as the superuser or another user, as specified by the security policy.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</si>
  <si>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Run the following command to install sudo
# yum install sudo</t>
  </si>
  <si>
    <t>4.2.6 Ensure sshd Ciphers are configured</t>
  </si>
  <si>
    <t>The command script with multiple lines returned : 
awk: cmd. line:1: warning: escape sequence `\.' treated as plain `.'
/etc/ssh/sshd_config: Permission denied
port 22: 
Pass</t>
  </si>
  <si>
    <t>This variable limits the ciphers that SSH can use during communication.
Note:
 - Some organizations may have stricter requirements for approved ciphers.
 - Ensure that ciphers used are in compliance with site policy.
 - The only "strong" ciphers currently FIPS 140-2 compliant are:
 - aes256-ctr
 - aes192-ctr
 - aes128-ctr
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t>
  </si>
  <si>
    <t>Edit the /etc/ssh/sshd_config file and add or modify the Ciphers line to contain a comma separated list of the site approved (Strong) Ciphers:
Example:
Ciphers chacha20-poly1305@openssh.com,aes256-gcm@openssh.com,aes128-gcm@openssh.com,aes256-ctr,aes192-ctr,aes128-ctr
Note: First occurrence of an option takes precedence.</t>
  </si>
  <si>
    <t>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t>
  </si>
  <si>
    <t>4.2.3 Ensure permissions on SSH public host key files are configured</t>
  </si>
  <si>
    <t>The command script with multiple lines returned : 
File: "/etc/ssh/ssh_host_rsa_key.pub" Mode: "0644" Owner: "root" Group: "root" GID: "0"
File: "/etc/ssh/ssh_host_ecdsa_key.pub" Mode: "0644" Owner: "root" Group: "root" GID: "0"
File: "/etc/ssh/ssh_host_ed25519_key.pub" Mode: "0644" Owner: "root" Group: "root" GID: "0"
- Audit Result:
  *** PASS ***
- * Correctly set * :
 - File: "/etc/ssh/ssh_host_rsa_key.pub"
  - Correct: mode (0644), owner (root), and group owner (root) configured
 - File: "/etc/ssh/ssh_host_ecdsa_key.pub"
  - Correct: mode (0644), owner (root), and group owner (root) configured
 - File: "/etc/ssh/ssh_host_ed25519_key.pub"
  - Correct: mode (0644), owner (root), and group owner (root) configured</t>
  </si>
  <si>
    <t>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t>
  </si>
  <si>
    <t>Run the following script to set mode, ownership, and group on the public SSH host key files:
#!/usr/bin/env bash
{
   l_output="" l_output2=""
   l_skgn="$(grep -Po -- '^(ssh_keys|_?ssh)b' /etc/group)" # Group designated to own openSSH keys
   l_skgid="$(awk -F: '($1 == "'"$l_skgn"'"){print $3}' /etc/group)" # Get gid of group
   l_mfix="u-x,go-wx"
   if command -v ssh-keygen &amp;&gt;/dev/null; then
      unset a_skarr &amp;&amp; a_skarr=() # Clear and initialize array
      if [ -d /etc/ssh ]; then
         while IFS= read -r -d $'0' l_file; do # Loop to populate array
            if grep -Pq -- 'h+noh+commentb' &lt;&lt;&lt; "$(ssh-keygen -l -f 2&gt;/dev/null "$l_file")"; then
               a_skarr+=("$(stat -Lc '%n^%#a^%U^%G^%g' "$l_file")")
            fi
         done &lt; &lt;(find -L /etc/ssh -xdev -type f -print0)
         if (( ${#a_skarr[@]} &gt; 0 )); then
            while IFS="^" read -r l_file l_mode l_owner l_group l_gid; do
               l_out2=""
               l_pmask="0133"
               l_maxperm="$( printf '%o' $(( 0777 &amp; ~$l_pmask )) )"
               if [ $(( $l_mode &amp; $l_pmask )) -gt 0 ]; then
                  l_out2="$l_out2
 - Mode: \"$l_mode\" should be mode: \"$l_maxperm\" or more restrictive
 - Revoking excess permissions"
                  chmod "$l_mfix" "$l_file"
               fi
               if [ "$l_owner" != "root" ]; then
                  l_out2="$l_out2
 - Owned by: \"$l_owner\" should be owned by \"root\"
 - Changing ownership to \"root\""
                  chown root "$l_file"
               fi
               if [[ ! "$l_group" =~ $l_agroup ]]; then
                  l_out2="$l_out2
 - Owned by group \"$l_group\" should be group owned by: \"${l_agroup//|/ or }\"
 - Changing group ownership to \"$l_sgroup\""
                  chgrp "$l_sgroup" "$l_file"
               fi
               [ -n "$l_out2" ] &amp;&amp; l_output2="$l_output2
 - File: \"$l_file\"$l_out2"
            done &lt;&lt;&lt; "$(printf '%s
' "${a_skarr[@]}")"
         else
            l_output=" - No public keys found in \"/etc/ssh\""
         fi
      else
         l_output="- ssh directory not found on the system"
      fi
      unset a_skarr
   else
      l_output2=" - ssh-keygen command not found
 - manual remediation may be required"
   fi
   if [ -z "$l_output2" ]; then
      echo -e "
- No access changes required
"
   else
      echo -e "
- Remediation results:
$l_output2
"
   fi
}</t>
  </si>
  <si>
    <t>4.2.22 Ensure sshd UsePAM is enabled</t>
  </si>
  <si>
    <t>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
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</si>
  <si>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Edit the /etc/ssh/sshd_config file to set the UsePAM parameter to yes :
UsePAM yes
Note: First occurrence of a option takes precedence.</t>
  </si>
  <si>
    <t>4.2.21 Ensure sshd PermitUserEnvironment is disabled</t>
  </si>
  <si>
    <t>The PermitUserEnvironment option allows users to present environment options to the SSH daemon.
Permitting users the ability to set environment variables through the SSH daemon could potentially allow users to bypass security controls (e.g. setting an execution path that has SSH executing trojan'd programs)</t>
  </si>
  <si>
    <t>Edit the /etc/ssh/sshd_config file to set the parameter PermitUserEnvironment to no :
PermitUserEnvironment no
Note: First occurrence of a option takes precedence.</t>
  </si>
  <si>
    <t>4.2.2 Ensure permissions on SSH private host key files are configured</t>
  </si>
  <si>
    <t>The command script with multiple lines returned : 
- Audit Result:
  *** PASS ***
- * Correctly set * :
  - No private keys found in "/etc/ssh"</t>
  </si>
  <si>
    <t>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If an unauthorized user obtains the private SSH host key file, the host could be impersonated</t>
  </si>
  <si>
    <t>Run the following script to set mode, ownership, and group on the private SSH host key files:
#!/usr/bin/env bash
{
   l_output="" l_output2=""
   l_skgn="$(grep -Po -- '^(ssh_keys|_?ssh)b' /etc/group)" # Group designated to own openSSH keys
   l_skgid="$(awk -F: '($1 == "'"$l_skgn"'"){print $3}' /etc/group)" # Get gid of group
   if [ -n "$l_skgid" ]; then
      l_agroup="(root|$l_skgn)" &amp;&amp; l_sgroup="$l_skgn" &amp;&amp; l_mfix="u-x,g-wx,o-rwx"
   else
      l_agroup="root" &amp;&amp; l_sgroup="root" &amp;&amp; l_mfix="u-x,go-rwx"
   fi
   if command -v ssh-keygen &amp;&gt;/dev/null; then
      unset a_skarr &amp;&amp; a_skarr=() # Clear and initialize array
      if [ -d /etc/ssh ]; then
         while IFS= read -r -d $'0' l_file; do # Loop to populate array
            l_var="$(ssh-keygen -l -f 2&gt;/dev/null "$l_file")"
            if [ -n "$l_var" ] &amp;&amp; ! grep -Pq -- 'h+noh+commentb' &lt;&lt;&lt; "$l_var"; then
               a_skarr+=("$(stat -Lc '%n^%#a^%U^%G^%g' "$l_file")")
            fi
         done &lt; &lt;(find -L /etc/ssh -xdev -type f -print0)
         if (( ${#a_skarr[@]} &gt; 0 )); then
            while IFS="^" read -r l_file l_mode l_owner l_group l_gid; do
               l_out2=""
               [ "$l_gid" = "$l_skgid" ] &amp;&amp; l_pmask="0137" || l_pmask="0177"
               l_maxperm="$( printf '%o' $(( 0777 &amp; ~$l_pmask )) )"
               if [ $(( $l_mode &amp; $l_pmask )) -gt 0 ]; then
                  l_out2="$l_out2
 - Mode: \"$l_mode\" should be mode: \"$l_maxperm\" or more restrictive
 - Revoking excess permissions"
                  chmod "$l_mfix" "$l_file"
               fi
               if [ "$l_owner" != "root" ]; then
                  l_out2="$l_out2
 - Owned by: \"$l_owner\" should be owned by \"root\"
 - Changing ownership to \"root\""
                  chown root "$l_file"
               fi
               if [[ ! "$l_group" =~ $l_agroup ]]; then
                  l_out2="$l_out2
 - Owned by group \"$l_group\" should be group owned by: \"${l_agroup//|/ or }\"
 - Changing group ownership to \"$l_sgroup\""
                  chgrp "$l_sgroup" "$l_file"
               fi
               [ -n "$l_out2" ] &amp;&amp; l_output2="$l_output2
 - File: \"$l_file\"$l_out2"
            done &lt;&lt;&lt; "$(printf '%s
' "${a_skarr[@]}")"
         else
            l_output=" - No private keys found in \"/etc/ssh\""
         fi
      else
         l_output="- ssh directory not found on the system"
      fi
      unset a_skarr
   else
      l_output2=" - ssh-keygen command not found
 - manual remediation may be required"
   fi
   if [ -z "$l_output2" ]; then
      echo -e "
- No access changes required
"
   else
      echo -e "
- Remediation results:
$l_output2
"
   fi
}</t>
  </si>
  <si>
    <t>4.2.15 Ensure sshd MACs are configured</t>
  </si>
  <si>
    <t>This variable limits the types of MAC algorithms that SSH can use during communication.
Notes:
 - Some organizations may have stricter requirements for approved MACs.
 - Ensure that MACs used are in compliance with site policy.
 - The only "strong" MACs currently FIPS 140-2 approved are:
 - HMAC-SHA1
 - HMAC-SHA2-256
 - HMAC-SHA2-384
 - HMAC-SHA2-512
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</si>
  <si>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Edit the /etc/ssh/sshd_config file and add/modify the MACs line to contain a comma separated list of the site approved, supported "strong" MACs:
Example:
MACs hmac-sha2-512-etm@openssh.com,hmac-sha2-256-etm@openssh.com,hmac-sha2-512,hmac-sha2-256
Note: The first occurrence of an option takes precedence.</t>
  </si>
  <si>
    <t>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t>
  </si>
  <si>
    <t>4.2.12 Ensure sshd KexAlgorithms is configured</t>
  </si>
  <si>
    <t>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140-2 approved are:
 - ecdh-sha2-nistp256
 - ecdh-sha2-nistp384
 - ecdh-sha2-nistp521
 - diffie-hellman-group-exchange-sha256
 - diffie-hellman-group16-sha512
 - diffie-hellman-group18-sha512
 - diffie-hellman-group14-sha256
Key exchange methods that are considered weak should be removed. A key exchange method may be weak because too few bits are used, or the hashing algorithm is considered too weak. Using weak algorithms could expose connections to man-in-the-middle attacks</t>
  </si>
  <si>
    <t>Edit /etc/ssh/sshd_config and add/modify the KexAlgorithms line to contain a comma separated list of the site approved, supported "strong" KexAlgorithms:
Example:
KexAlgorithms curve25519-sha256,curve25519-sha256@libssh.org,ecdh-sha2-nistp256,ecdh-sha2-nistp384,ecdh-sha2-nistp521,diffie-hellman-group-exchange-sha256
Note: First occurrence of an option takes precedence.</t>
  </si>
  <si>
    <t>4.2.11 Ensure sshd IgnoreRhosts is enabled</t>
  </si>
  <si>
    <t>The IgnoreRhosts parameter specifies thatrhosts andshosts files will not be used in RhostsRSAAuthentication or HostbasedAuthentication
Setting this parameter forces users to enter a password when authenticating with SSH.</t>
  </si>
  <si>
    <t>Edit the /etc/ssh/sshd_config file to set the IgnoreRhosts parameter to yes :
IgnoreRhosts yes
Note: First occurrence of a option takes precedence.</t>
  </si>
  <si>
    <t>4.2.1 Ensure permissions on /etc/ssh/sshd_config are configured</t>
  </si>
  <si>
    <t>The command script with multiple lines returned : 
find: '/etc/ssh/sshd_config.d': No such file or directory
- Audit Result:
  *** PASS ***
- * Correctly set * :
 - File: "/etc/ssh/sshd_config":
  - Correct: mode (0600), owner (root), and group owner (root) configured</t>
  </si>
  <si>
    <t>The file /etc/ssh/sshd_config and files ending inconf in the /etc/ssh/sshd_config.d directory, contain configuration specifications for sshd
configuration specifications for sshd need to be protected from unauthorized changes by non-privileged users.</t>
  </si>
  <si>
    <t>Run the following script to set ownership and permissions on /etc/ssh/sshd_config and files ending inconf in the /etc/ssh/sshd_config.d directory:
#!/usr/bin/env bash
{
   chmod u-x,og-rwx /etc/ssh/sshd_config
   chown root:root /etc/ssh/sshd_config
   while IFS= read -r -d $'0' l_file; do
      if [ -e "$l_file" ]; then
         chmod u-x,og-rwx "$l_file"
         chown root:root "$l_file"
      fi
   done &lt; &lt;(find /etc/ssh/sshd_config.d -type f -print0)
}</t>
  </si>
  <si>
    <t>4.1.2.1 Ensure at is restricted to authorized users</t>
  </si>
  <si>
    <t>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
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</si>
  <si>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-IF- at is installed on the system:
Run the following script to:
 - /etc/at.allow :
 - Create the file if it doesn't exist
 - Change owner or user root
 - If group daemon exists, change to group daemon else change group to root
 - Change mode to 640 or more restrictive
 - -IF-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</si>
  <si>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4.1.1.8 Ensure crontab is restricted to authorized users</t>
  </si>
  <si>
    <t>All of the following must pass to satisfy this requirement:
-------------------------
PASSED - /etc/cron.deny file permissions
The file /etc/cron.deny with fmode owner: root group: root mode: 0600 uid: 0 gid: 0 uneven permissions : FALSE is compliant with the policy value 
/etc/cron.deny
-------------------------
PASSED - /etc/cron.allow file permissions
The file /etc/cron.allow with fmode owner: root group: root mode: 0640 uid: 0 gid: 0 uneven permissions : FALSE is compliant with the policy value 
/etc/cron.allow</t>
  </si>
  <si>
    <t>crontab is the program used to install, deinstall, or list the tables used to drive the cron daemon. Each user can have their own crontab, and though these are files in /var/spool/cron/crontabs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If they are not, then cron will deny access to all users until the permissions are fixed.
There is one file for each user's crontab under the /var/spool/cron/crontabs directory. Users are not allowed to edit the files under that directory directly to ensure that only users allowed by the system to run periodic tasks can add them, and only syntactically correct crontabs will be written there.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</si>
  <si>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-IF- cron is installed on the system:
Run the following commands to:
 - Create /etc/cron.allow if it doesn't exist
 - Change owner or user root
 - Change group owner to group root
 - Change mode to 640 or more restrictive
# [ ! -e "/etc/cron.allow" ] &amp;&amp; touch /etc/cron.allow
# chown root:root /etc/cron.allow
# chmod u-x,g-wx,o-rwx /etc/cron.allow
Run the following commands to:
-IF- /etc/cron.deny exists:
 - Change owner or user root
 - Change group owner to group root
 - Change mode to 640 or more restrictive
# [ -e "/etc/cron.deny" ] &amp;&amp; chown root:root /etc/cron.deny
# [ -e "/etc/cron.deny" ] &amp;&amp; chmod u-x,g-wx,o-rwx /etc/cron.deny</t>
  </si>
  <si>
    <t>4.1.1.7 Ensure permissions on /etc/cron.d are configured</t>
  </si>
  <si>
    <t>The file /etc/cron.d with fmode owner: root group: root mode: 0700 uid: 0 gid: 0 uneven permissions : FALSE is compliant with the policy value 
/etc/cron.d</t>
  </si>
  <si>
    <t>file: /etc/cron.d
group: root
mask: 077
owner: root</t>
  </si>
  <si>
    <t>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</si>
  <si>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commands to set ownership and permissions on the /etc/cron.d directory:
# chown root:root /etc/cron.d/
# chmod og-rwx /etc/cron.d/</t>
  </si>
  <si>
    <t>4.1.1.6 Ensure permissions on /etc/cron.monthly are configured</t>
  </si>
  <si>
    <t>The file /etc/cron.monthly with fmode owner: root group: root mode: 0700 uid: 0 gid: 0 uneven permissions : FALSE is compliant with the policy value 
/etc/cron.monthly</t>
  </si>
  <si>
    <t>file: /etc/cron.monthly
group: root
mask: 077
owner: root</t>
  </si>
  <si>
    <t>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</si>
  <si>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commands to set ownership and permissions on the /etc/cron.monthly directory:
# chown root:root /etc/cron.monthly/
# chmod og-rwx /etc/cron.monthly/</t>
  </si>
  <si>
    <t>4.1.1.5 Ensure permissions on /etc/cron.weekly are configured</t>
  </si>
  <si>
    <t>The file /etc/cron.weekly with fmode owner: root group: root mode: 0700 uid: 0 gid: 0 uneven permissions : FALSE is compliant with the policy value 
/etc/cron.weekly</t>
  </si>
  <si>
    <t>file: /etc/cron.weekly
group: root
mask: 077
owner: root</t>
  </si>
  <si>
    <t>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</si>
  <si>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commands to set ownership and permissions on the /etc/cron.weekly directory:
# chown root:root /etc/cron.weekly/
# chmod og-rwx /etc/cron.weekly/</t>
  </si>
  <si>
    <t>4.1.1.4 Ensure permissions on /etc/cron.daily are configured</t>
  </si>
  <si>
    <t>The file /etc/cron.daily with fmode owner: root group: root mode: 0700 uid: 0 gid: 0 uneven permissions : FALSE is compliant with the policy value 
/etc/cron.daily</t>
  </si>
  <si>
    <t>file: /etc/cron.daily
group: root
mask: 077
owner: root</t>
  </si>
  <si>
    <t>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</si>
  <si>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commands to set ownership and permissions on the /etc/cron.daily directory:
# chown root:root /etc/cron.daily/
# chmod og-rwx /etc/cron.daily/</t>
  </si>
  <si>
    <t>4.1.1.3 Ensure permissions on /etc/cron.hourly are configured</t>
  </si>
  <si>
    <t>The file /etc/cron.hourly with fmode owner: root group: root mode: 0700 uid: 0 gid: 0 uneven permissions : FALSE is compliant with the policy value 
/etc/cron.hourly</t>
  </si>
  <si>
    <t>file: /etc/cron.hourly
group: root
mask: 077
owner: root</t>
  </si>
  <si>
    <t>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</si>
  <si>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Run the following commands to set ownership and permissions on the /etc/cron.hourly directory:
# chown root:root /etc/cron.hourly/
# chmod og-rwx /etc/cron.hourly/</t>
  </si>
  <si>
    <t>4.1.1.2 Ensure permissions on /etc/crontab are configured</t>
  </si>
  <si>
    <t>The file /etc/crontab with fmode owner: root group: root mode: 0600 uid: 0 gid: 0 uneven permissions : FALSE is compliant with the policy value 
/etc/crontab</t>
  </si>
  <si>
    <t>file: /etc/crontab
group: root
mask: 177
owner: root</t>
  </si>
  <si>
    <t>The /etc/crontab file is used by cron to control its own jobs. The commands in this item make sure that root is the user and group owner of the file and that only the owner can access the file.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</si>
  <si>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Run the following commands to set ownership and permissions on /etc/crontab :
# chown root:root /etc/crontab
# chmod og-rwx /etc/crontab</t>
  </si>
  <si>
    <t>4.1.1.1 Ensure cron daemon is enabled and active</t>
  </si>
  <si>
    <t>All of the following must pass to satisfy this requirement:
-------------------------
PASSED - cron daemon is enabled
The command '/bin/systemctl is-enabled crond' returned : 
enabled
-------------------------
PASSED - cron daemon is active
The command '/bin/systemctl is-active crond' returned : 
active</t>
  </si>
  <si>
    <t>The cron daemon is used to execute batch jobs on the system.
While there may not be user jobs that need to be run on the system, the system does have maintenance jobs that may include security monitoring that have to run, and cron is used to execute them.
Note: IF systemd timers are configured and used for scheduled tasks, this recommendation may be skipped</t>
  </si>
  <si>
    <t>Run the following commands to unmask, enable, and start crond :
# systemctl unmask crond
# systemctl --now enable crond</t>
  </si>
  <si>
    <t>800-171|3.4.2, 800-171r3|03.04.02a., 800-53|CM-6b., 800-53r5|CM-6b., CN-L3|8.1.10.6(d), CSF|PR.IP-1, CSF2.0|DE.CM-09, CSF2.0|PR.PS-01, GDPR|32.1.b, HIPAA|164.306(a)(1), ISO-27001-2022|A.8.9, ITSG-33|CM-6b., LEVEL|1A, NESA|T3.2.1, SWIFT-CSCv1|2.3</t>
  </si>
  <si>
    <t>3.4.4.3.6 Ensure ip6tables is enabled and active</t>
  </si>
  <si>
    <t>ip6tables.service is a utility for configuring and maintaining ip6tables
ip6tables.service will load the iptables rules saved in the file /etc/sysconfig/ip6tables at boot, otherwise the ip6tables rules will be cleared during a re-boot of the system.</t>
  </si>
  <si>
    <t>Run the following commands to unmask, enable and start ip6tables.service :
# systemctl unmask ip6tables.service
# systemctl --now start ip6tables.service</t>
  </si>
  <si>
    <t>3.4.4.3.5 Ensure ip6tables rules are saved</t>
  </si>
  <si>
    <t>The iptables-services package includes the /etc/sysconfig/ip6tables file. The ip6tables rules in this file will be loaded by the ip6tables.service during boot, or when it is started or re-loaded.
If the ip6tables rules are not saved and a system re-boot occurs, the ip6tables rules will be lost.</t>
  </si>
  <si>
    <t>Run the following commands to create or update the /etc/sysconfig/ip6tables file:
Run the following command to review the current running iptables configuration:
# ip6tables -L
Output should include:
Chain INPUT (policy DROP)
target prot opt source destination
ACCEPT all anywhere anywhere
DROP all localhost anywhere
ACCEPT tcp anywhere anywhere state ESTABLISHED
ACCEPT udp anywhere anywhere state ESTABLISHED
ACCEPT icmp anywhere anywhere state ESTABLISHED
ACCEPT tcp anywhere anywhere tcp dpt:ssh state NEW
Chain FORWARD (policy DROP)
target prot opt source destination
Chain OUTPUT (policy DROP)
target prot opt source destination
ACCEPT all anywhere anywhere
ACCEPT tcp anywhere anywhere state NEW,ESTABLISHED
ACCEPT udp anywhere anywhere state NEW,ESTABLISHED
ACCEPT icmp anywhere anywhere state NEW,ESTABLISHED
Run the following command to save the verified running configuration to the file /etc/sysconfig/ip6tables :
# service ip6tables save
ip6tables: Saving firewall rules to /etc/sysconfig/ip6table[ OK ]</t>
  </si>
  <si>
    <t>3.4.4.3.4 Ensure ip6tables default deny firewall policy</t>
  </si>
  <si>
    <t>A default deny all policy on connections ensures that any unconfigured network usage will be rejected.
With a default accept policy the firewall will accept any packet that is not configured to be denied. It is easier to white list acceptable usage than to black list unacceptable usage.
Note: Changing firewall settings while connected over network can result in being locked out of the system.</t>
  </si>
  <si>
    <t>Run the following commands to implement a default DROP policy:
# ip6tables -P INPUT DROP
# ip6tables -P OUTPUT DROP
# ip6tables -P FORWARD DROP</t>
  </si>
  <si>
    <t>3.4.4.3.3 Ensure ip6tables firewall rules exist for all open ports</t>
  </si>
  <si>
    <t>Any ports that have been opened on non-loopback addresses need firewall rules to govern traffic.
Without a firewall rule configured for open ports default firewall policy will drop all packets to these ports.
Note:
 - Changing firewall settings while connected over network can result in being locked out of the system.
 - The remediation command opens up the port to traffic from all sources. Consult iptables documentation and set any restrictions in compliance with site policy.</t>
  </si>
  <si>
    <t>For each port identified in the audit which does not have a firewall rule establish a proper rule for accepting inbound connections:
# ip6tables -A INPUT -p &lt;protocol&gt; --dport &lt;port&gt; -m state --state NEW -j ACCEPT</t>
  </si>
  <si>
    <t>3.4.4.3.2 Ensure ip6tables outbound and established connections are configured</t>
  </si>
  <si>
    <t>Configure the firewall rules for new outbound, and established IPv6 connections.
If rules are not in place for new outbound, and established connections all packets will be dropped by the default policy preventing network usage.
Note: Changing firewall settings while connected over network can result in being locked out of the system.</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</si>
  <si>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OUTPUT -p icmp -m state --state NEW,ESTABLISHED -j ACCEPT
# ip6tables -A INPUT -p tcp -m state --state ESTABLISHED -j ACCEPT
# ip6tables -A INPUT -p udp -m state --state ESTABLISHED -j ACCEPT
# ip6tables -A INPUT -p icmp -m state --state ESTABLISHED -j ACCEPT</t>
  </si>
  <si>
    <t>3.4.4.3.1 Ensure ip6tables loopback traffic is configured</t>
  </si>
  <si>
    <t>Configure the loopback interface to accept traffic. Configure all other interfaces to deny traffic to the loopback network (::1).
Loopback traffic is generated between processes on machine and is typically critical to operation of the system. The loopback interface is the only place that loopback network (::1) traffic should be seen, all other interfaces should ignore traffic on this network as an anti-spoofing measure.
Note: Changing firewall settings while connected over network can result in being locked out of the system.</t>
  </si>
  <si>
    <t>Run the following commands to implement the loopback rules:
# ip6tables -A INPUT -i lo -j ACCEPT
# ip6tables -A OUTPUT -o lo -j ACCEPT
# ip6tables -A INPUT -s ::1 -j DROP</t>
  </si>
  <si>
    <t>3.4.4.2.6 Ensure iptables service is enabled and active</t>
  </si>
  <si>
    <t>iptables.service is a utility for configuring and maintaining iptables
iptables.service will load the iptables rules saved in the file /etc/sysconfig/iptables at boot, otherwise the iptables rules will be cleared during a re-boot of the system.</t>
  </si>
  <si>
    <t>Run the following command to enable and start iptables:
# systemctl unmask iptables.service
# systemctl --now enable iptables.service</t>
  </si>
  <si>
    <t>3.4.4.2.5 Ensure iptables rules are saved</t>
  </si>
  <si>
    <t>The iptables-services package includes the /etc/sysconfig/iptables file. The iptables rules in this file will be loaded by the iptables.service during boot, or when it is started or re-loaded.
If the iptables rules are not saved and a system re-boot occurs, the iptables rules will be lost.</t>
  </si>
  <si>
    <t>Run the following commands to create or update the /etc/sysconfig/iptables file:
Run the following command to review the current running iptables configuration:
# iptables -L
Output should include:
Chain INPUT (policy DROP)
target prot opt source destination
ACCEPT all -- anywhere anywhere
DROP all -- loopback/8 anywhere
ACCEPT tcp -- anywhere anywhere state ESTABLISHED
ACCEPT udp -- anywhere anywhere state ESTABLISHED
ACCEPT icmp -- anywhere anywhere state ESTABLISHED
ACCEPT tcp -- anywhere anywhere tcp dpt:ssh state NEW
Chain FORWARD (policy DROP)
target prot opt source destination
Chain OUTPUT (policy DROP)
target prot opt source destination
ACCEPT all -- anywhere anywhere
ACCEPT tcp -- anywhere anywhere state NEW,ESTABLISHED
ACCEPT udp -- anywhere anywhere state NEW,ESTABLISHED
ACCEPT icmp -- anywhere anywhere state NEW,ESTABLISHED
Run the following command to save the verified running configuration to the file /etc/sysconfig/iptables :
# service iptables save
iptables: Saving firewall rules to /etc/sysconfig/iptables:[ OK ]</t>
  </si>
  <si>
    <t>3.4.4.2.4 Ensure iptables default deny firewall policy</t>
  </si>
  <si>
    <t>Run the following commands to implement a default DROP policy:
# iptables -P INPUT DROP
# iptables -P OUTPUT DROP
# iptables -P FORWARD DROP</t>
  </si>
  <si>
    <t>3.4.4.2.3 Ensure iptables rules exist for all open ports</t>
  </si>
  <si>
    <t>For each port identified in the audit which does not have a firewall rule establish a proper rule for accepting inbound connections:
# iptables -A INPUT -p &lt;protocol&gt; --dport &lt;port&gt; -m state --state NEW -j ACCEPT</t>
  </si>
  <si>
    <t>800-171|3.13.1, 800-171|3.13.5, 800-171|3.13.6, 800-171r3|03.13.01, 800-171r3|03.13.06, 800-53|CA-9, 800-53|SC-7, 800-53|SC-7(5), 800-53r5|CA-9, 800-53r5|SC-7, 800-53r5|SC-7(5), CN-L3|7.1.2.2(c), CN-L3|8.1.10.6(j), CSCv7|9.2, CSCv7|9.4, CSCv8|4.4, CSF|DE.CM-1, CSF|ID.AM-3, CSF|PR.AC-5, CSF|PR.DS-5, CSF|PR.PT-4, CSF2.0|DE.CM-01, CSF2.0|ID.AM-03, CSF2.0|PR.DS-01, CSF2.0|PR.DS-02, CSF2.0|PR.DS-10, CSF2.0|PR.IR-01, GDPR|32.1.b, GDPR|32.1.d, GDPR|32.2, HIPAA|164.306(a)(1), ISO-27001-2022|A.5.14, ISO-27001-2022|A.8.16, ISO-27001-2022|A.8.20, ISO/IEC-27001|A.13.1.3, ITSG-33|SC-7, ITSG-33|SC-7(5), LEVEL|1A, NESA|T4.5.4, NIAv2|GS1, NIAv2|GS2a, NIAv2|GS2b, NIAv2|GS7b, NIAv2|NS25, PCI-DSSv3.2.1|1.1, PCI-DSSv3.2.1|1.2, PCI-DSSv3.2.1|1.2.1, PCI-DSSv3.2.1|1.3, PCI-DSSv4.0|1.2.1, PCI-DSSv4.0|1.4.1, QCSC-v1|4.2, QCSC-v1|5.2.1, QCSC-v1|5.2.2, QCSC-v1|5.2.3, QCSC-v1|6.2, QCSC-v1|8.2.1, SWIFT-CSCv1|2.1, TBA-FIISB|43.1</t>
  </si>
  <si>
    <t>3.4.4.2.2 Ensure iptables outbound and established connections are configured</t>
  </si>
  <si>
    <t>Configure the firewall rules for new outbound, and established connections.
If rules are not in place for new outbound, and established connections all packets will be dropped by the default policy preventing network usage.
Note: Changing firewall settings while connected over network can result in being locked out of the system.</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</si>
  <si>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OUTPUT -p icmp -m state --state NEW,ESTABLISHED -j ACCEPT
# iptables -A INPUT -p tcp -m state --state ESTABLISHED -j ACCEPT
# iptables -A INPUT -p udp -m state --state ESTABLISHED -j ACCEPT
# iptables -A INPUT -p icmp -m state --state ESTABLISHED -j ACCEPT</t>
  </si>
  <si>
    <t>3.4.4.2.1 Ensure iptables loopback traffic is configured</t>
  </si>
  <si>
    <t>Configure the loopback interface to accept traffic. Configure all other interfaces to deny traffic to the loopback network (127.0.0.0/8).
Loopback traffic is generated between processes on machine and is typically critical to operation of the system. The loopback interface is the only place that loopback network (127.0.0.0/8) traffic should be seen, all other interfaces should ignore traffic on this network as an anti-spoofing measure.
Note: Changing firewall settings while connected over network can result in being locked out of the system.</t>
  </si>
  <si>
    <t>Run the following commands to implement the loopback rules:
# iptables -A INPUT -i lo -j ACCEPT
# iptables -A OUTPUT -o lo -j ACCEPT
# iptables -A INPUT -s 127.0.0.0/8 -j DROP</t>
  </si>
  <si>
    <t>3.4.4.1.1 Ensure iptables packages are installed</t>
  </si>
  <si>
    <t>iptables is a utility program that allows a system administrator to configure the tables provided by the Linux kernel firewall, implemented as different Netfilter modules, and the chains and rules it stores. Different kernel modules and programs are used for different protocols; iptables applies to IPv4, ip6tables to IPv6, arptables to ARP, and ebtables to Ethernet frames.
A method of configuring and maintaining firewall rules is necessary to configure a Host Based Firewall.</t>
  </si>
  <si>
    <t>Run the following command to install iptables and iptables-services
# yum install iptables iptables-services</t>
  </si>
  <si>
    <t>3.4.3.9 Ensure nftables rules are permanent</t>
  </si>
  <si>
    <t>nftables is a subsystem of the Linux kernel providing filtering and classification of network packets/datagrams/frames.
The nftables service reads the /etc/sysconfig/nftables.conf file for a nftables file or files to include in the nftables ruleset.
A nftables ruleset containing the input, forward, and output base chains allow network traffic to be filtered.
Changes made to nftables ruleset only affect the live system, you will also need to configure the nftables ruleset to apply on boot</t>
  </si>
  <si>
    <t>Edit the /etc/sysconfig/nftables.conf file and un-comment or add a line with include &lt;Absolute path to nftables rules file&gt; for each nftables file you want included in the nftables ruleset on boot:
Example:
include "/etc/nftables/nftables.rules"</t>
  </si>
  <si>
    <t>3.4.3.8 Ensure nftables service is enabled and active</t>
  </si>
  <si>
    <t>The nftables service allows for the loading of nftables rulesets during boot, or starting on the nftables service
The nftables service restores the nftables rules from the rules files referenced in the /etc/sysconfig/nftables.conf file during boot or the starting of the nftables service</t>
  </si>
  <si>
    <t>Run the following commands to unmask, enable and start nftables.service :
# systemctl unmask nftables.service
# systemctl --now enable nftables.service</t>
  </si>
  <si>
    <t>3.4.3.7 Ensure nftables default deny firewall policy</t>
  </si>
  <si>
    <t>Base chain policy is the default verdict that will be applied to packets reaching the end of the chain.
There are two policies: accept (Default) and drop. If the policy is set to accept the firewall will accept any packet that is not configured to be denied and the packet will continue traversing the network stack.
It is easier to white list acceptable usage than to black list unacceptable usage.
Note: Changing firewall settings while connected over the network can result in being locked out of the system.</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</si>
  <si>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
Impact:
If configuring nftables over ssh, creating a base chain with a policy of drop will cause loss of connectivity.
Ensure that a rule allowing ssh has been added to the base chain prior to setting the base chain's policy to drop</t>
  </si>
  <si>
    <t>3.4.3.6 Ensure nftables outbound and established connections are configured</t>
  </si>
  <si>
    <t>Configure the firewall rules for new outbound and established connections
If rules are not in place for new outbound and established connections, all packets will be dropped by the default policy preventing network usage.</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</si>
  <si>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input ip protocol icmp ct state established accept
# nft add rule inet filter output ip protocol tcp ct state new,related,established accept
# nft add rule inet filter output ip protocol udp ct state new,related,established accept
# nft add rule inet filter output ip protocol icmp ct state new,related,established accept</t>
  </si>
  <si>
    <t>3.4.3.5 Ensure nftables loopback traffic is configured</t>
  </si>
  <si>
    <t>Configure the loopback interface to accept traffic. Configure all other interfaces to deny traffic to the loopback network
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t>
  </si>
  <si>
    <t>Run the following commands to implement the loopback rules:
# nft add rule inet filter input iif lo accept
# nft create rule inet filter input ip saddr 127.0.0.0/8 counter drop
- IF - IPv6 is enabled:
Run the following command to implement the IPv6 loopback rules:
# nft add rule inet filter input ip6 saddr ::1 counter drop</t>
  </si>
  <si>
    <t>3.4.3.4 Ensure nftables base chains exist</t>
  </si>
  <si>
    <t>Chains are containers for rules. They exist in two kinds, base chains and regular chains. A base chain is an entry point for packets from the networking stack, a regular chain may be used as jump target and is used for better rule organization.
If a base chain doesn't exist with a hook for input, forward, and delete, packets that would flow through those chains will not be touched by nftables.</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</si>
  <si>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Impact:
If configuring nftables over ssh, creating a base chain with a policy of drop will cause loss of connectivity.
Ensure that a rule allowing ssh has been added to the base chain prior to setting the base chain's policy to drop</t>
  </si>
  <si>
    <t>3.4.3.3 Ensure an nftables table exists</t>
  </si>
  <si>
    <t>Tables hold chains. Each table only has one address family and only applies to packets of this family. Tables can have one of five families.
nftables doesn't have any default tables. Without a table being build, nftables will not filter network traffic.</t>
  </si>
  <si>
    <t>Run the following command to create a table in nftables
# nft create table inet &lt;table name&gt;
Example:
# nft create table inet filter
Impact:
Adding rules to a running nftables can cause loss of connectivity to the system</t>
  </si>
  <si>
    <t>3.4.3.2 Ensure iptables are flushed with nftables</t>
  </si>
  <si>
    <t>nftables is a replacement for iptables, ip6tables, ebtables and arptables
It is possible to mix iptables and nftables. However, this increases complexity and also the chance to introduce errors. For simplicity flush out all iptables rules, and ensure it is not loaded</t>
  </si>
  <si>
    <t>Run the following commands to flush iptables:
For iptables:
# iptables -F
For ip6tables:
# ip6tables -F</t>
  </si>
  <si>
    <t>3.4.3.1 Ensure nftables is installed</t>
  </si>
  <si>
    <t>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Note:
 -
nftables is available in Linux kernel 3.13 and newer.
 -
Only one firewall utility should be installed and configured.
nftables is a subsystem of the Linux kernel that can protect against threats originating from within a corporate network to include malicious mobile code and poorly configured software on a host.</t>
  </si>
  <si>
    <t>Run the following command to install nftables
# yum install nftables
Impact:
Changing firewall settings while connected over the network can result in being locked out of the system.</t>
  </si>
  <si>
    <t>3.4.2.1 Ensure firewalld is installed</t>
  </si>
  <si>
    <t>All of the following must pass to satisfy this requirement:
-------------------------
PASSED - iptables installed
The local RPM is newer than iptables-0.0.0-0 (iptables-1.4.21-35.0.3.el7)
-------------------------
PASSED - firewalld check - installed
The local RPM is newer than firewalld-0.0.0-0 (firewalld-0.6.3-13.0.1.el7_9)</t>
  </si>
  <si>
    <t>firewalld is a firewall management tool for Linux operating systems. It provides firewall features by acting as a front-end for the Linux kernel's netfilter framework via the iptables backend or provides firewall features by acting as a front-end for the Linux kernel's netfilter framework via the nftables utility.
firewalld replaces iptables as the default firewall management tool. Use the firewalld utility to configure a firewall for less complex firewalls. The utility is easy to use and covers the typical use cases scenario. FirewallD supports both IPv4 and IPv6 networks and can administer separate firewall zones with varying degrees of trust as defined in zone profiles.
Note: Starting in v0.6.0, FirewallD added support for acting as a front-end for the Linux kernel's netfilter framework via the nftables userspace utility, acting as an alternative to the nft command line program.
A firewall utility is required to configure the Linux kernel's netfilter framework via the iptables or nftables back-end.
The Linux kernel's netfilter framework host-based firewall can protect against threats originating from within a corporate network to include malicious mobile code and poorly configured software on a host.
Note: Only one firewall utility should be installed and configured. FirewallD is dependent on the iptables package.</t>
  </si>
  <si>
    <t>Run the following command to install FirewallD and iptables :
# yum install firewalld iptables
Impact:
Changing firewall settings while connected over the network can result in being locked out of the system.</t>
  </si>
  <si>
    <t>3.4.1.1 Ensure iptables is installed</t>
  </si>
  <si>
    <t>The local RPM is newer than iptables-0.0.0-0 (iptables-1.4.21-35.0.3.el7)</t>
  </si>
  <si>
    <t>operator: gt
required: YES
rpm: iptables-0.0.0-0</t>
  </si>
  <si>
    <t>IPtables is an application that allows a system administrator to configure the IPv4 and IPv6 tables, chains and rules provided by the Linux kernel firewall
IPTables is a subsystem of the Linux kernel that can protect against threats originating from within a corporate network to include malicious mobile code and poorly configured software on a host.</t>
  </si>
  <si>
    <t>3.3.9 Ensure suspicious packets are logged</t>
  </si>
  <si>
    <t>The command script with multiple lines returned : 
- Audit Result:
  ** PASS **
 - "net.ipv4.conf.all.log_martians" is correctly set to "1" in the running configuration
 - "net.ipv4.conf.all.log_martians" is correctly set to "1" in "/etc/sysctl.d/60-netipv4_sysctl.conf"
 - "net.ipv4.conf.default.log_martians" is correctly set to "1" in the running configuration
 - "net.ipv4.conf.default.log_martians" is correctly set to "1" in "/etc/sysctl.d/60-netipv4_sysctl.conf"</t>
  </si>
  <si>
    <t>When enabled, this feature logs packets with un-routable source addresses to the kernel log.
Setting net.ipv4.conf.all.log_martians and net.ipv4.conf.default.log_martians to 1` enables this feature. Logging these packets allows an administrator to investigate the possibility that an attacker is sending spoofed packets to their system.</t>
  </si>
  <si>
    <t>Set the following parameters in /etc/sysctl.conf or a file in /etc/sysctl.d/ ending inconf :
 - net.ipv4.conf.all.log_martians = 1
 - net.ipv4.conf.default.log_martians = 1
Example:
# printf '%s
' "net.ipv4.conf.all.log_martians = 1" "net.ipv4.conf.default.log_martians = 1" &gt;&gt; /etc/sysctl.d/60-netipv4_sysctl.conf
Run the following command to set the active kernel parameters:
# {
   sysctl -w net.ipv4.conf.all.log_martians=1
   sysctl -w net.ipv4.conf.default.log_martians=1
   sysctl -w net.ipv4.route.flush=1
}
Note: If these settings appear in a canonically later file, or later in the same file, these settings will be overwritten</t>
  </si>
  <si>
    <t>800-171|3.3.1, 800-171|3.3.2, 800-171|3.3.6, 800-171r3|03.03.02a., 800-171r3|03.03.02b., 800-171r3|03.03.03, 800-171r3|03.03.06a., 800-53|AU-3, 800-53|AU-3(1), 800-53|AU-7, 800-53|AU-12, 800-53r5|AU-3, 800-53r5|AU-3(1), 800-53r5|AU-7, 800-53r5|AU-12, CN-L3|7.1.2.3(a), CN-L3|7.1.2.3(b), CN-L3|7.1.2.3(c), CN-L3|7.1.3.3(a), CN-L3|7.1.3.3(b), CN-L3|8.1.4.3(b), CSCv7|6.2,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t>
  </si>
  <si>
    <t>3.3.8 Ensure source routed packets are not accepted</t>
  </si>
  <si>
    <t>The command script with multiple lines returned : 
- Audit Result:
  ** PASS **
 - "net.ipv4.conf.all.accept_source_route" is correctly set to "0" in the running configuration
 - "net.ipv4.conf.all.accept_source_route" is correctly set to "0" in "/usr/lib/sysctl.d/50-default.conf"
 - "net.ipv4.conf.default.accept_source_route" is correctly set to "0" in the running configuration
 - "net.ipv4.conf.default.accept_source_route" is correctly set to "0" in "/usr/lib/sysctl.d/50-default.conf"
 - "net.ipv6.conf.all.accept_source_route" is correctly set to "0" in the running configuration
 - "net.ipv6.conf.all.accept_source_route" is correctly set to "0" in "/etc/sysctl.d/60-netipv6_sysctl.conf"
 - "net.ipv6.conf.default.accept_source_route" is correctly set to "0" in the running configuration
 - "net.ipv6.conf.default.accept_source_route" is correctly set to "0" in "/etc/sysctl.d/60-netipv6_sysctl.conf"</t>
  </si>
  <si>
    <t>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</si>
  <si>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Set the following parameters in /etc/sysctl.conf or a file in /etc/sysctl.d/ ending inconf :
 - net.ipv4.conf.all.accept_source_route = 0
 - net.ipv4.conf.default.accept_source_route = 0
Example:
# printf '%s
' "net.ipv4.conf.all.accept_source_route = 0" "net.ipv4.conf.default.accept_source_route = 0" &gt;&gt; /etc/sysctl.d/60-netipv4_sysctl.conf
Run the following command to set the active kernel parameters:
# {
   sysctl -w net.ipv4.conf.all.accept_source_route=0
   sysctl -w net.ipv4.conf.default.accept_source_route=0
   sysctl -w net.ipv4.route.flush=1
}
-IF- IPv6 is enabled on the system:
Set the following parameters in /etc/sysctl.conf or a file in /etc/sysctl.d/ ending inconf :
 - net.ipv6.conf.all.accept_source_route = 0
 - net.ipv6.conf.default.accept_source_route = 0
Example:
# printf '%s
' "net.ipv6.conf.all.accept_source_route = 0" "net.ipv6.conf.default.accept_source_route = 0" &gt;&gt; /etc/sysctl.d/60-netipv6_sysctl.conf
Run the following command to set the active kernel parameters:
# {
   sysctl -w net.ipv6.conf.all.accept_source_route=0
   sysctl -w net.ipv6.conf.default.accept_source_route=0
   sysctl -w net.ipv6.route.flush=1
}
Note: If these settings appear in a canonically later file, or later in the same file, these settings will be overwritten</t>
  </si>
  <si>
    <t>3.3.7 Ensure reverse path filtering is enabled</t>
  </si>
  <si>
    <t>The command script with multiple lines returned : 
- Audit Result:
  ** PASS **
 - "net.ipv4.conf.all.rp_filter" is correctly set to "1" in the running configuration
 - "net.ipv4.conf.all.rp_filter" is correctly set to "1" in "/usr/lib/sysctl.d/50-default.conf"
 - "net.ipv4.conf.default.rp_filter" is correctly set to "1" in the running configuration
 - "net.ipv4.conf.default.rp_filter" is correctly set to "1" in "/usr/lib/sysctl.d/50-default.conf"</t>
  </si>
  <si>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
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</si>
  <si>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Set the following parameters in /etc/sysctl.conf or a file in /etc/sysctl.d/ ending inconf :
 - net.ipv4.conf.all.rp_filter = 1
 - net.ipv4.conf.default.rp_filter = 1
Example:
# printf '%s
' "net.ipv4.conf.all.rp_filter = 1" "net.ipv4.conf.default.rp_filter = 1" &gt;&gt; /etc/sysctl.d/60-netipv4_sysctl.conf
Run the following commands to set the active kernel parameters:
# {
   sysctl -w net.ipv4.conf.all.rp_filter=1
   sysctl -w net.ipv4.conf.default.rp_filter=1
   sysctl -w net.ipv4.route.flush=1
}
Note: If these settings appear in a canonically later file, or later in the same file, these settings will be overwritten
Impact:
If you are using asymmetrical routing on your system, you will not be able to enable this feature without breaking the routing.</t>
  </si>
  <si>
    <t>3.3.11 Ensure ipv6 router advertisements are not accepted</t>
  </si>
  <si>
    <t>The command script with multiple lines returned : 
- Audit Result:
  ** PASS **
 - "net.ipv6.conf.all.accept_ra" is correctly set to "0" in the running configuration
 - "net.ipv6.conf.all.accept_ra" is correctly set to "0" in "/etc/sysctl.d/60-ipv6-security.conf"
 - "net.ipv6.conf.default.accept_ra" is correctly set to "0" in the running configuration
 - "net.ipv6.conf.default.accept_ra" is correctly set to "0" in "/etc/sysctl.d/60-ipv6-security.conf"</t>
  </si>
  <si>
    <t>This setting disables the system's ability to accept IPv6 router advertisements.
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</si>
  <si>
    <t>-IF- IPv6 is enabled on the system:
Set the following parameters in /etc/sysctl.conf or a file in /etc/sysctl.d/ ending inconf :
 - net.ipv6.conf.all.accept_ra = 0
 - net.ipv6.conf.default.accept_ra = 0
Example:
# printf '%s
' "net.ipv6.conf.all.accept_ra = 0" "net.ipv6.conf.default.accept_ra = 0" &gt;&gt; /etc/sysctl.d/60-netipv6_sysctl.conf
Run the following command to set the active kernel parameters:
# {
   sysctl -w net.ipv6.conf.all.accept_ra=0
   sysctl -w net.ipv6.conf.default.accept_ra=0
   sysctl -w net.ipv6.route.flush=1
}
Note: If these settings appear in a canonically later file, or later in the same file, these settings will be overwritten</t>
  </si>
  <si>
    <t>3.1.3 Ensure bluetooth services are not in use</t>
  </si>
  <si>
    <t>The package 'bluez-0.0.0-0' is not installed</t>
  </si>
  <si>
    <t>operator: lte
rpm: bluez-0.0.0-0</t>
  </si>
  <si>
    <t>Bluetooth is a short-range wireless technology standard that is used for exchanging data between devices over short distances. It employs UHF radio waves in the ISM bands, from 2.402 GHz to 2.48 GHz. It is mainly used as an alternative to wire connections.
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t>
  </si>
  <si>
    <t>Run the following commands to stop bluetooth.service and remove the bluez package:
# systemctl stop bluetooth.service
# yum remove bluez
-OR-
-IF-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t>
  </si>
  <si>
    <t>3.1.2 Ensure wireless interfaces are disabled</t>
  </si>
  <si>
    <t>The command script with multiple lines returned : 
- Audit Result:
  ** PASS **
 - System has no wireless NICs installed</t>
  </si>
  <si>
    <t>Wireless networking is used when wired networks are unavailable.
-IF- wireless is not to be used, wireless devices can be disabled to reduce the potential attack surface.</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</si>
  <si>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Impact:
Many if not all laptop workstations and some desktop workstations will connect via wireless requiring these interfaces be enabled.</t>
  </si>
  <si>
    <t>800-171|3.4.2, 800-171|3.4.6, 800-171|3.4.7, 800-171r3|03.04.02, 800-171r3|03.04.06, 800-53|CM-6, 800-53|CM-7, 800-53r5|CM-6, 800-53r5|CM-7, CSCv7|15.4, CSCv7|15.5, CSCv8|4.8, CSF|PR.IP-1, CSF|PR.PT-3, CSF2.0|DE.CM-09, CSF2.0|PR.PS-01, GDPR|32.1.b, HIPAA|164.306(a)(1), ISO-27001-2022|A.8.9, ITSG-33|CM-6, ITSG-33|CM-7, LEVEL|1A, NIAv2|SS15a, PCI-DSSv3.2.1|2.2.2, SWIFT-CSCv1|2.3</t>
  </si>
  <si>
    <t>2.3.5 Ensure tftp client is not installed</t>
  </si>
  <si>
    <t>The package 'tftp-0.0.0-0' is not installed</t>
  </si>
  <si>
    <t>operator: lte
rpm: tftp-0.0.0-0</t>
  </si>
  <si>
    <t>Trivial File Transfer Protocol (TFTP) is a simple protocol for exchanging files between two TCP/IP machines. TFTP servers allow connections from a TFTP Client for sending and receiving files.
TFTP does not have built-in encryption, access control or authentication. This makes it very easy for an attacker to exploit TFTP to gain access to files</t>
  </si>
  <si>
    <t>Run the following command to remove tftp :
# yum remove tftp</t>
  </si>
  <si>
    <t>2.3.4 Ensure telnet client is not installed</t>
  </si>
  <si>
    <t>The package 'telnet-0.0.0-0' is not installed</t>
  </si>
  <si>
    <t>operator: lte
rpm: telnet-0.0.0-0</t>
  </si>
  <si>
    <t>The telnet package contains the telnet client, which allows users to start connections to other systems via the telnet protocol.
The telnet protocol is insecure and unencrypted. The use of an unencrypted transmission medium could allow an unauthorized user to steal credentials. The ssh package provides an encrypted session and stronger security and is included in most Linux distributions.</t>
  </si>
  <si>
    <t>Run the following command to remove the telnet package:
# yum remove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</si>
  <si>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800-171|3.4.2, 800-171|3.4.6, 800-171|3.4.7, 800-171r3|03.04.02, 800-171r3|03.04.06, 800-53|CM-6, 800-53|CM-7, 800-53r5|CM-6, 800-53r5|CM-7, CSCv7|2.6, CSCv8|4.8, CSF|PR.IP-1, CSF|PR.PT-3, CSF2.0|DE.CM-09, CSF2.0|PR.PS-01, GDPR|32.1.b, HIPAA|164.306(a)(1), ISO-27001-2022|A.8.9, ITSG-33|CM-6, ITSG-33|CM-7, LEVEL|1A, NIAv2|SS15a, PCI-DSSv3.2.1|2.2.2, SWIFT-CSCv1|2.3</t>
  </si>
  <si>
    <t>2.3.3 Ensure nis client is not installed</t>
  </si>
  <si>
    <t>The package 'ypbind-0.0.0-0' is not installed</t>
  </si>
  <si>
    <t>operator: lte
rpm: ypbind-0.0.0-0</t>
  </si>
  <si>
    <t>The Network Information Service (NIS), formerly known as Yellow Pages, is a client-server directory service protocol used to distribute system configuration files. The NIS client ( ypbind )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</si>
  <si>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Run the following command to remove the ypbind package:
# yum remove ypbind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</si>
  <si>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2.3.1 Ensure ftp client is not installed</t>
  </si>
  <si>
    <t>The package 'ftp-0.0.0-0' is not installed</t>
  </si>
  <si>
    <t>operator: lte
rpm: ftp-0.0.0-0</t>
  </si>
  <si>
    <t>FTP (File Transfer Protocol) is a traditional and widely used standard tool for transferring files between a server and clients over a network, especially where no authentication is necessary (permits anonymous users to connect to a server).
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t>
  </si>
  <si>
    <t>Run the following command to remove ftp :
# yum remove ftp</t>
  </si>
  <si>
    <t>2.2.9 Ensure network file system services are not in use</t>
  </si>
  <si>
    <t>The package 'nfs-utils-0.0.0-0' is not installed</t>
  </si>
  <si>
    <t>operator: lte
rpm: nfs-utils-0.0.0-0</t>
  </si>
  <si>
    <t>The Network File System (NFS) is one of the first and most widely distributed file systems in the UNIX environment. It provides the ability for systems to mount file systems of other servers through the network.
If the system does not require access to network shares or the ability to provide network file system services for other host's network shares, it is recommended that the nfs-utils package be removed to reduce the attack surface of the system.</t>
  </si>
  <si>
    <t>Run the following command to stop nfs-server.service and remove nfs-utils package:
# systemctl stop nfs-server.service
# yum remove nfs-utils
-OR-
-IF- the nfs-utils package is required as a dependency:
Run the following commands to stop and mask the nfs-server.service :
# systemctl stop nfs-server.service
# systemctl mask nfs-server.service
Impact:
Many of the libvirt packages used by Enterprise Linux virtualization are dependent on the nfs-utils package. If the nfs-utils package is removed, these dependent packages will be removed as well. Before removing the nfs-utils package, review any dependent packages to determine if they are required on the system.
-IF- a dependent package is required: stop and mask the nfs-server.service leaving the nfs-utils package installed.</t>
  </si>
  <si>
    <t>2.2.8 Ensure message access server services are not in use</t>
  </si>
  <si>
    <t>All of the following must pass to satisfy this requirement:
-------------------------
PASSED - cyrus-imapd exist on the system
The package 'cyrus-imapd-0.0.0-0' is not installed
-------------------------
PASSED - dovecot exist on the system
The package 'dovecot-0.0.0-0' is not installed</t>
  </si>
  <si>
    <t>dovecot and cyrus-imapd are open source IMAP and POP3 server packages for Linux based systems.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t>
  </si>
  <si>
    <t>Run the following commands to stop dovecot.socket dovecot.service and cyrus-imapd.service and remove dovecot and cyrus-imapd packages:
# systemctl stop dovecot.socket dovecot.service cyrus-imapd.service
# yum remove dovecot cyrus-imapd
-OR-
-IF- a package is installed and is required for dependencies:
Run the following commands to stop and mask dovecot.socket dovecot.service and cyrus-imapd.service :
# systemctl stop dovecot.socket dovecot.service cyrus-imapd.service
# systemctl mask dovecot.socket dovecot.service cyrus-imapd.service
Impact:
There may be packages that are dependent on dovecot and cyrus-imapd packages. If dovecot and cyrus-imapd packages are removed, these dependent packages will be removed as well. Before removing dovecot and cyrus-imapd packages, review any dependent packages to determine if they are required on the system.
-IF- a dependent package is required: stop and mask dovecot.socket dovecot.service and cyrus-imapd.service leaving dovecot and cyrus-imapd packages installed.</t>
  </si>
  <si>
    <t>2.2.7 Ensure ftp server services are not in use</t>
  </si>
  <si>
    <t>The package 'vsftpd-0.0.0-0' is not installed</t>
  </si>
  <si>
    <t>operator: lte
rpm: vsftpd-0.0.0-0</t>
  </si>
  <si>
    <t>FTP (File Transfer Protocol) is a traditional and widely used standard tool for transferring files between a server and clients over a network, especially where no authentication is necessary (permits anonymous users to connect to a server).
Unless there is a need to run the system as a FTP server, it is recommended that the package be removed to reduce the potential attack surface.</t>
  </si>
  <si>
    <t>Run the following commands to stop vsftpd.service and remove vsftpd package:
# systemctl stop vsftpd.service
# yum remove vsftpd
-OR-
-IF-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-IF- a dependent package is required: stop and mask the vsftpd.service leaving the vsftpd package installed.</t>
  </si>
  <si>
    <t>2.2.6 Ensure samba file server services are not in use</t>
  </si>
  <si>
    <t>The package 'samba-0.0.0-0' is not installed</t>
  </si>
  <si>
    <t>operator: lte
rpm: samba-0.0.0-0</t>
  </si>
  <si>
    <t>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
If there is no need to mount directories and file systems to Windows systems, then this package can be removed to reduce the potential attack surface.</t>
  </si>
  <si>
    <t>Run the following command to stop smb.service and remove samba package:
# systemctl stop smb.service
# yum remove samba
-OR-
-IF- the samba package is required as a dependency:
Run the following commands to stop and mask the smb.service :
# systemctl stop smb.service
# systemctl mask smb.service
Impact:
There may be packages that are dependent on the samba package. If the samba package is removed, these dependent packages will be removed as well. Before removing the samba package, review any dependent packages to determine if they are required on the system.
-IF- a dependent package is required: stop and mask the smb.service leaving the samba package installed.</t>
  </si>
  <si>
    <t>2.2.5 Ensure dnsmasq services are not in use</t>
  </si>
  <si>
    <t>The package 'dnsmasq-0.0.0-0' is not installed</t>
  </si>
  <si>
    <t>operator: lte
rpm: dnsmasq-0.0.0-0</t>
  </si>
  <si>
    <t>dnsmasq is a lightweight tool that provides DNS caching, DNS forwarding and DHCP (Dynamic Host Configuration Protocol) services.
Unless a system is specifically designated to act as a DNS caching, DNS forwarding and/or DHCP server, it is recommended that the package be removed to reduce the potential attack surface.</t>
  </si>
  <si>
    <t>Run the following commands to stop dnsmasq.service and remove dnsmasq package:
# systemctl stop dnsmasq.service
# yum remove dnsmasq
-OR-
-IF-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-IF- a dependent package is required: stop and mask the dnsmasq.service leaving the dnsmasq package installed.</t>
  </si>
  <si>
    <t>2.2.4 Ensure dns server services are not in use</t>
  </si>
  <si>
    <t>The package 'bind-0.0.0-0' is not installed</t>
  </si>
  <si>
    <t>operator: lte
rpm: bind-0.0.0-0</t>
  </si>
  <si>
    <t>The Domain Name System (DNS) is a hierarchical naming system that maps names to IP addresses for computers, services and other resources connected to a network.
Unless a system is specifically designated to act as a DNS server, it is recommended that the package be removed to reduce the potential attack surface.</t>
  </si>
  <si>
    <t>Run the following commands to stop named.service and remove bind package:
# systemctl stop named.service
# yum remove bind
-OR-
-IF- the bind package is required as a dependency:
Run the following commands to stop and mask named.service :
# systemctl stop named.service
# systemctl mask named.service
Impact:
There may be packages that are dependent on the bind package. If the bind package is removed, these dependent packages will be removed as well. Before removing the bind package, review any dependent packages to determine if they are required on the system.
-IF- a dependent package is required: stop and mask the named.service leaving the bind package installed.</t>
  </si>
  <si>
    <t>2.2.3 Ensure dhcp server services are not in use</t>
  </si>
  <si>
    <t>The package 'dhcp-server-0.0.0-0' is not installed</t>
  </si>
  <si>
    <t>operator: lte
rpm: dhcp-server-0.0.0-0</t>
  </si>
  <si>
    <t>The Dynamic Host Configuration Protocol (DHCP) is a service that allows machines to be dynamically assigned IP addresses. There are two versions of the DHCP protocol DHCPv4 and DHCPv6 At startup the server may be started for one or the other via the -4 or -6 arguments.
Unless a system is specifically set up to act as a DHCP server, it is recommended that the dhcp-server package be removed to reduce the potential attack surface.</t>
  </si>
  <si>
    <t>Run the following commands to stop dhcpd.service and dhcpd6.service and remove dhcp package:
# systemctl stop dhcpd.service dhcpd6.service
# yum remove dhcp
-OR-
-IF- the dhcp package is required as a dependency:
Run the following commands to stop and mask dhcpd.service and dhcpd6.service :
# systemctl stop dhcpd.service dhcpd6.service
# systemctl mask dhcpd.service dhcpd6.service
Impact:
There may be packages that are dependent on the dhcp-server package. If the dhcp-server package is removed, these dependent packages will be removed as well. Before removing the dhcp-server package, review any dependent packages to determine if they are required on the system.
-IF- a dependent package is required: stop and mask the dhcpd.service and dhcpd6.service leaving the dhcp-server package installed.</t>
  </si>
  <si>
    <t>2.2.21 Ensure mail transfer agents are configured for local-only mode</t>
  </si>
  <si>
    <t>'All of the following must pass to satisfy this requirement:
-------------------------
PASSED - Loopback on Port 25
The command '/sbin/ss -plntu | /bin/grep -P -- ':25\b' | /bin/grep -Pv -- '\h*(127\.0\.0\.1|\[?::1\]?):25\b' | /bin/awk -F: '{ print $NF } END {if (NR == 0) print "none"}'' returned : 
none
-------------------------
PASSED - Loopback on Port 587
The command '/sbin/ss -plntu | /bin/grep -P -- ':587\b' | /bin/grep -Pv -- '\h*(127\.0\.0\.1|\[?::1\]?):587\b' | /bin/awk -F: '{ print $NF } END {if (NR == 0) print "none"}'' returned : 
none
-------------------------
PASSED - Loopback on Port 465
The command '/sbin/ss -plntu | /bin/grep -P -- ':465\b' | /bin/grep -Pv -- '\h*(127\.0\.0\.1|\[?::1\]?):465\b' | /bin/awk -F: '{ print $NF } END {if (NR == 0) print "none"}'' returned : 
none</t>
  </si>
  <si>
    <t>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t>
  </si>
  <si>
    <t>Edit /etc/postfix/main.cf and add the following line to the RECEIVING MAIL section. If the line already exists, change it to look like the line below:
inet_interfaces = loopback-only
Run the following command to restart postfix :
# systemctl restart postfix
Note:
 - This remediation is designed around the postfix mail server.
 - Depending on your environment you may have an alternative MTA installed such as sendmail. If this is the case consult the documentation for your installed MTA to configure the recommended state.</t>
  </si>
  <si>
    <t>2.2.2 Ensure avahi daemon services are not in use</t>
  </si>
  <si>
    <t>The package 'avahi-0.0.0-0' is not installed</t>
  </si>
  <si>
    <t>operator: lte
rpm: avahi-0.0.0-0</t>
  </si>
  <si>
    <t>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
Automatic discovery of network services is not normally required for system functionality. It is recommended to remove this package to reduce the potential attack surface.</t>
  </si>
  <si>
    <t>Run the following commands to stop avahi-daemon.socket and avahi-daemon.service and remove the avahi package:
# systemctl stop avahi-daemon.socket avahi-daemon.service
# yum remove avahi
-OR-
-IF- the avahi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-IF- a dependent package is required: stop and mask the avahi-daemon.socket and avahi-daemon.service leaving the avahi package installed.</t>
  </si>
  <si>
    <t>2.2.19 Ensure xinetd services are not in use</t>
  </si>
  <si>
    <t>The package 'xinetd-0.0.0-0' is not installed</t>
  </si>
  <si>
    <t>operator: lte
rpm: xinetd-0.0.0-0</t>
  </si>
  <si>
    <t>The eXtended InterNET Daemon ( xinetd ) is an open source super daemon that replaced the original inetd daemon. The xinetd daemon listens for well known services and dispatches the appropriate daemon to properly respond to service requests.
Unless your organization specifically requires xinetd services, it is recommended that the package be removed to reduce the attack surface are of the system.</t>
  </si>
  <si>
    <t>Run the following commands to stop xinetd.service and remove the xinetd package:
# systemctl stop xinetd.service
# yum remove xinetd
-OR-
-IF-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-IF- a dependent package is required: stop and mask the avahi-daemon.socket and avahi-daemon.service leaving the avahi package installed.</t>
  </si>
  <si>
    <t>2.2.18 Ensure web server services are not in use</t>
  </si>
  <si>
    <t>All of the following must pass to satisfy this requirement:
-------------------------
PASSED - nginx services exist on the system
The package 'nginx-0.0.0-0' is not installed
-------------------------
PASSED - httpd services exist on the system
The package 'httpd-0.0.0-0' is not installed</t>
  </si>
  <si>
    <t>Web servers provide the ability to host web site content.
Unless there is a local site approved requirement to run a web server service on the system, web server packages should be removed to reduce the potential attack surface.</t>
  </si>
  <si>
    <t>Run the following commands to stop httpd.socket httpd.service and nginx.service and remove httpd and nginx packages:
# systemctl stop httpd.socket httpd.service nginx.service
# yum remove httpd nginx
-OR-
-IF- a package is installed and is required for dependencies:
Run the following commands to stop and mask httpd.socket httpd.service and nginx.service :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-IF-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</si>
  <si>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2.2.17 Ensure web proxy server services are not in use</t>
  </si>
  <si>
    <t>The package 'squid-0.0.0-0' is not installed</t>
  </si>
  <si>
    <t>operator: lte
rpm: squid-0.0.0-0</t>
  </si>
  <si>
    <t>Squid is a standard proxy server used in many distributions and environments.
Unless a system is specifically set up to act as a proxy server, it is recommended that the squid package be removed to reduce the potential attack surface.
Note: Several HTTP proxy servers exist. These should be checked and removed unless required.</t>
  </si>
  <si>
    <t>Run the following commands to stop squid.service and remove the squid package:
# systemctl stop squid.service
# yum remove squid
-OR-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-IF- a dependent package is required: stop and mask the squid.service leaving the squid package installed.</t>
  </si>
  <si>
    <t>2.2.16 Ensure tftp server services are not in use</t>
  </si>
  <si>
    <t>The package 'tftp-server-0.0.0-0' is not installed</t>
  </si>
  <si>
    <t>operator: lte
rpm: tftp-server-0.0.0-0</t>
  </si>
  <si>
    <t>Trivial File Transfer Protocol (TFTP) is a simple protocol for exchanging files between two TCP/IP machines. TFTP servers allow connections from a TFTP Client for sending and receiving files.
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t>
  </si>
  <si>
    <t>Run the following commands to stop tftp.socket and tftp.service and remove the tftp-server package:
# systemctl stop tftp.socket tftp.service
# yum remove tftp-server
-OR-
-IF- the tftp-server package is required as a dependency:
Run the following commands to stop and mask tftp.socket and tftp.service :
# systemctl stop tftp.socket tftp.service
# systemctl mask tftp.socket tftp.service
Impact:
TFTP is often used to provide files for network booting such as for PXE based installation of servers.
There may be packages that are dependent on the tftp-server package. If the tftp-server package is removed, these dependent packages will be removed as well. Before removing the tftp-server package, review any dependent packages to determine if they are required on the system.
-IF- a dependent package is required: stop and mask the tftp.socket and tftp.service leaving the tftp-server package installed.</t>
  </si>
  <si>
    <t>2.2.15 Ensure telnet server services are not in use</t>
  </si>
  <si>
    <t>The package 'telnet-server-0.0.0-0' is not installed</t>
  </si>
  <si>
    <t>operator: lte
rpm: telnet-server-0.0.0-0</t>
  </si>
  <si>
    <t>The telnet-server package contains the telnet daemon, which accepts connections from users from other systems via the telnet protocol.
The telnet protocol is insecure and unencrypted. The use of an unencrypted transmission medium could allow a user with access to sniff network traffic the ability to steal credentials. The ssh package provides an encrypted session and stronger security.</t>
  </si>
  <si>
    <t>Run the following commands to stop telnet.socket and remove the telnet-server package:
# systemctl stop telnet.socket
# yum remove telnet-server
-OR-
-IF- a package is installed and is required for dependencies:
Run the following commands to stop and mask telnet.socket :
# systemctl stop telnet.socket
# systemctl mask telnet.socket
Impact:
There may be packages that are dependent on the telnet-server package. If the telnet-server package is removed, these dependent packages will be removed as well. Before removing the telnet-server package, review any dependent packages to determine if they are required on the system.
-IF- a dependent package is required: stop and mask the telnet.socket leaving the telnet-server package installed.</t>
  </si>
  <si>
    <t>800-171|3.4.2, 800-171|3.4.6, 800-171|3.4.7, 800-171r3|03.04.02, 800-171r3|03.04.06, 800-53|CM-6, 800-53|CM-7, 800-53r5|CM-6, 800-53r5|CM-7, CSCv7|2.6, CSCv7|9.2, CSCv8|4.8, CSF|PR.IP-1, CSF|PR.PT-3, CSF2.0|DE.CM-09, CSF2.0|PR.PS-01, GDPR|32.1.b, HIPAA|164.306(a)(1), ISO-27001-2022|A.8.9, ITSG-33|CM-6, ITSG-33|CM-7, LEVEL|1A, NIAv2|SS15a, PCI-DSSv3.2.1|2.2.2, SWIFT-CSCv1|2.3</t>
  </si>
  <si>
    <t>2.2.14 Ensure snmp services are not in use</t>
  </si>
  <si>
    <t>The package 'net-snmp-0.0.0-0' is not installed</t>
  </si>
  <si>
    <t>operator: lte
rpm: net-snmp-0.0.0-0</t>
  </si>
  <si>
    <t>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</si>
  <si>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commands to stop snmpd.service and remove net-snmp package:
# systemctl stop snmpd.service
# yum remove net-snmp
-OR- If the package is required for dependencies:
Run the following commands to stop and mask the snmpd.service :
# systemctl stop snmpd.service
# systemctl mask snmpd.service
Impact:
There may be packages that are dependent on the net-snmp package. If the net-snmp package is removed, these packages will be removed as well.
Before removing the net-snmp package, review any dependent packages to determine if they are required on the system. If a dependent package is required, stop and mask the snmpd.service leaving the net-snmp package installed.</t>
  </si>
  <si>
    <t>2.2.13 Ensure rsync services are not in use</t>
  </si>
  <si>
    <t>The package 'rsync-daemon-0.0.0-0' is not installed</t>
  </si>
  <si>
    <t>operator: lte
rpm: rsync-daemon-0.0.0-0</t>
  </si>
  <si>
    <t>The rsyncd.service can be used to synchronize files between systems over network links.
Unless required, the rsync package should be removed to reduce the potential attack surface.
The rsyncd.service presents a security risk as it uses unencrypted protocols for communication.</t>
  </si>
  <si>
    <t>Run the following commands to stop rsyncd.socket and rsyncd.service and remove the rsync package:
# systemctl stop rsyncd.socket rsyncd.service
# yum remove rsync
-OR-
-IF- the rsync package is required as a dependency:
Run the following commands to stop and mask the rsyncd.socket and rsyncd.service :
# systemctl stop rsyncd.socket rsyncd.service
# systemctl mask rsyncd.socket rsyncd.service
Impact:
There may be packages that are dependent on the rsync package. If the rsync package is removed, these dependent packages will be removed as well. Before removing the rsync package, review any dependent packages to determine if they are required on the system.
-IF- a dependent package is required: stop and mask the rsyncd.socket and rsyncd.service leaving the rsync package installed.</t>
  </si>
  <si>
    <t>2.2.12 Ensure rpcbind services are not in use</t>
  </si>
  <si>
    <t>The package 'rpcbind-0.0.0-0' is not installed</t>
  </si>
  <si>
    <t>operator: lte
rpm: rpcbind-0.0.0-0</t>
  </si>
  <si>
    <t>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
A small request (~82 bytes via UDP) sent to the Portmapper generates a large response (7x to 28x amplification), which makes it a suitable tool for DDoS attacks. If rpcbind is not required, it is recommended to remove rpcbind package to reduce the potential attack surface.</t>
  </si>
  <si>
    <t>Run the following commands to stop rpcbind.socket and rpcbind.service and remove the rpcbind package:
# systemctl stop rpcbind.socket rpcbind.service
# yum remove rpcbind
-OR-
-IF-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-IF- a dependent package is required: stop and mask the rpcbind.socket and rpcbind.service leaving the rpcbind package installed.</t>
  </si>
  <si>
    <t>2.2.11 Ensure print server services are not in use</t>
  </si>
  <si>
    <t>The package 'cups-0.0.0-0' is not installed</t>
  </si>
  <si>
    <t>operator: lte
rpm: cups-0.0.0-0</t>
  </si>
  <si>
    <t>The Common Unix Print System (CUPS) provides the ability to print to both local and network printers. A system running CUPS can also accept print jobs from remote systems and print them to local printers. It also provides a web based remote administration capability.
If the system does not need to print jobs or accept print jobs from other systems, it is recommended that CUPS be removed to reduce the potential attack surface.</t>
  </si>
  <si>
    <t>Run the following commands to stop cups.socket and cups.service and remove the cups package:
# systemctl stop cups.socket cups.service
# yum remove cups
-OR-
-IF-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-IF- a dependent package is required: stop and mask cups.socket and cups.service leaving the cups package installed.</t>
  </si>
  <si>
    <t>2.2.10 Ensure nis server services are not in use</t>
  </si>
  <si>
    <t>The package 'ypserv-0.0.0-0' is not installed</t>
  </si>
  <si>
    <t>operator: lte
rpm: ypserv-0.0.0-0</t>
  </si>
  <si>
    <t>Run the following commands to stop ypserv.service and remove ypserv package:
# systemctl stop ypserv.service
# yum remove ypserv
-OR-
-IF-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-IF- a dependent package is required: stop and mask the ypserv.service leaving the ypserv package installed.</t>
  </si>
  <si>
    <t>2.2.1 Ensure autofs services are not in use</t>
  </si>
  <si>
    <t>The package 'autofs-0.0.0-0' is not installed</t>
  </si>
  <si>
    <t>operator: lte
rpm: autofs-0.0.0-0</t>
  </si>
  <si>
    <t>autofs allows automatic mounting of devices, typically including CD/DVDs and USB drives.
With automounting enabled anyone with physical access could attach a USB drive or disc and have its contents available in system even if they lacked permissions to mount it themselves.</t>
  </si>
  <si>
    <t>Run the following commands to stop autofs.service and remove autofs package:
# systemctl stop autofs.service
# yum remove autofs
-OR-
-IF-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-IF- a dependent package is required: stop and mask the autofs.service leaving the autofs package installed.</t>
  </si>
  <si>
    <t>800-171|3.8.7, 800-171r3|03.08.07, 800-53|MP-7, 800-53r5|MP-7, CN-L3|8.5.4.1(c), CSCv7|8.5, CSCv8|10.3, CSF|PR.PT-2, GDPR|32.1.b, HIPAA|164.306(a)(1), HIPAA|164.312(a)(1), ISO-27001-2022|A.5.10, ISO-27001-2022|A.7.10, ISO/IEC-27001|A.8.3.1, ISO/IEC-27001|A.8.3.3, LEVEL|1A, NESA|T1.4.1</t>
  </si>
  <si>
    <t>2.1.1 Ensure time synchronization is in use</t>
  </si>
  <si>
    <t>The local RPM is newer than chrony-0.0.0-0 (chrony-3.4-1.0.3.el7)</t>
  </si>
  <si>
    <t>operator: gt
required: YES
rpm: chrony-0.0.0-0</t>
  </si>
  <si>
    <t>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
Time synchronization is important to support time sensitive security mechanisms like Kerberos and also ensures log files have consistent time records across the enterprise, which aids in forensic investigations.</t>
  </si>
  <si>
    <t>Run the following command to install chrony :
# yum install chrony</t>
  </si>
  <si>
    <t>1.7.9 Ensure GDM autorun-never is not overridden</t>
  </si>
  <si>
    <t>The command script with multiple lines returned : 
- Audit Result:
  ** PASS **
 - GNOME Desktop Manager package is not installed on the system
  - Recommendation is not applicable</t>
  </si>
  <si>
    <t>The autorun-never setting allows the GNOME Desktop Display Manager to disable autorun through GDM.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media-handling settings
/org/gnome/desktop/media-handling/autorun-never
Malware on removable media may take advantage of Autorun features when the media is inserted into a system and execute.</t>
  </si>
  <si>
    <t>Run the following script to ensure that autorun-never=true cannot be overridden:
#!/usr/bin/env bash
{
   # Check if GNOME Desktop Manager is installed. If package isn't installed, recommendation is Not Applicable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
 - Package: \"$l_pn\" exists on the system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
# Lock desktop media-handling autorun-never setting'
               echo '/org/gnome/desktop/media-handling/autorun-never'
            } &gt;&gt; "$l_kfd"/locks/00-media-autorun
         fi
      else
         echo -e " - \"autorun-never\" is not set so it can not be locked
 - Please follow Recommendation \"Ensure GDM autorun-never is enabled\" and follow this Recommendation again"
      fi
      # update dconf database
      dconf update
   else
      echo -e " - GNOME Desktop Manager package is not installed on the system
 - Recommendation is not applicable"
   fi
}</t>
  </si>
  <si>
    <t>1.7.8 Ensure GDM autorun-never is enabled</t>
  </si>
  <si>
    <t>The autorun-never setting allows the GNOME Desktop Display Manager to disable autorun through GDM.
Malware on removable media may take advantage of Autorun features when the media is inserted into a system and execute.</t>
  </si>
  <si>
    <t>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
 - Package: \"$l_pn\" exists on the system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
 - dconf database profile exists in: \"$(grep -Pl -- "^h*system-db:$l_gpnameb" /etc/dconf/profile/*)\""
      else
         [ ! -f "/etc/dconf/profile/user" ] &amp;&amp; l_gpfile="/etc/dconf/profile/user" || l_gpfile="/etc/dconf/profile/user2"
         echo -e " - creating dconf database profile"
         {
            echo -e "
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
 - GNOME Desktop Manager package is not installed on the system
 - Recommendation is not applicable"
   fi
   # update dconf database
   dconf update
}</t>
  </si>
  <si>
    <t>1.7.7 Ensure GDM disabling automatic mounting of removable media is not overridden</t>
  </si>
  <si>
    <t>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automount settings
/org/gnome/desktop/media-handling/automount
/org/gnome/desktop/media-handling/automount-open
With automounting enabled anyone with physical access could attach a USB drive or disc and have its contents available in system even if they lacked permissions to mount it themselves.</t>
  </si>
  <si>
    <t>Run the following script to lock disable automatic mounting of media for all GNOME users:
#!/usr/bin/env bash
{
   # Check if GNMOE Desktop Manager is installed. If package isn't installed, recommendation is Not Applicable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
 - Package: \"$l_pn\" exists on the system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'^h*/org/gnome/desktop/media-handling/automountb' "$l_kfd")\""
         else
            echo " - creating entry to lock \"automount\""
            [ ! -d "$l_kfd"/locks ] &amp;&amp; echo "creating directory $l_kfd/locks" &amp;&amp; mkdir "$l_kfd"/locks
            {
               echo -e '
# Lock desktop media-handling automount setting'
               echo '/org/gnome/desktop/media-handling/automount'
            } &gt;&gt; "$l_kfd"/locks/00-media-automount
         fi
      else
         echo -e " - \"automount\" is not set so it can not be locked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
# Lock desktop media-handling automount-open setting'
               echo '/org/gnome/desktop/media-handling/automount-open'
            } &gt;&gt; "$l_kfd2"/locks/00-media-automount
         fi
      else
         echo -e " - \"automount-open\" is not set so it can not be locked
 - Please follow Recommendation \"Ensure GDM automatic mounting of removable media is disabled\" and follow this Recommendation again"
      fi
      # update dconf database
      dconf update
   else
      echo -e " - GNOME Desktop Manager package is not installed on the system
 - Recommendation is not applicable"
   fi
}
Impact:
The use of portable hard drives is very common for workstation users</t>
  </si>
  <si>
    <t>1.7.6 Ensure GDM automatic mounting of removable media is disabled</t>
  </si>
  <si>
    <t>By default GNOME automatically mounts removable media when inserted as a convenience to the user.
With automounting enabled anyone with physical access could attach a USB drive or disc and have its contents available in system even if they lacked permissions to mount it themselves.</t>
  </si>
  <si>
    <t>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
   # determine system's package manager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
 - Package: \"$l_pn\" exists on the system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Check if profile file exists
      if grep -Pq -- "^h*system-db:$l_gpnameb" /etc/dconf/profile/*; then
         echo -e "
 - dconf database profile exists in: \"$(grep -Pl -- "^h*system-db:$l_gpnameb" /etc/dconf/profile/*)\""
      else
         if [ ! -f "/etc/dconf/profile/user" ]; then
            l_gpfile="/etc/dconf/profile/user"
         else
            l_gpfile="/etc/dconf/profile/user2"
         fi
         echo -e " - creating dconf database profile"
         {
            echo -e "
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
 - GNOME Desktop Manager package is not installed on the system
 - Recommendation is not applicable"
   fi
}
OR
Run the following command to uninstall the GNOME desktop Manager package:
# yum remove gdm
Impact:
The use of portable hard drives is very common for workstation users. If your organization allows the use of portable storage or media on workstations and physical access controls to workstations is considered adequate there is little value add in turning off automounting.</t>
  </si>
  <si>
    <t>1.7.5 Ensure GDM screen locks cannot be overridden</t>
  </si>
  <si>
    <t>GNOME Desktop Manager can make the screen lock automatically whenever the user is idle for some amount of time.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Lock desktop screensaver settings
/org/gnome/desktop/session/idle-delay
/org/gnome/desktop/screensaver/lock-delay
Setting a lock-out value reduces the window of opportunity for unauthorized user access to another user's session that has been left unattended.
Without locking down the system settings, user settings take precedence over the system settings.</t>
  </si>
  <si>
    <t>Run the following script to ensure screen locks cannot be overridden:
#!/usr/bin/env bash
{
   # Check if GNMOE Desktop Manager is installed. If package isn't installed, recommendation is Not Applicable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
 - Package: \"$l_pn\" exists on the system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
# Lock desktop screensaver idle-delay setting'
               echo '/org/gnome/desktop/session/idle-delay'
            } &gt;&gt; "$l_kfd"/locks/00-screensaver
         fi
      else
         echo -e " - \"idle-delay\" is not set so it can not be locked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
# Lock desktop screensaver lock-delay setting'
               echo '/org/gnome/desktop/screensaver/lock-delay'
            } &gt;&gt; "$l_kfd2"/locks/00-screensaver
         fi
      else
         echo -e " - \"lock-delay\" is not set so it can not be locked
 - Please follow Recommendation \"Ensure GDM screen locks when the user is idle\" and follow this Recommendation again"
      fi
   else
      echo -e " - GNOME Desktop Manager package is not installed on the system
 - Recommendation is not applicable"
   fi
}
Run the following command to update the system databases:
# dconf update
Note: Users must log out and back in again before the system-wide settings take effect.</t>
  </si>
  <si>
    <t>1.7.4 Ensure GDM screen locks when the user is idle</t>
  </si>
  <si>
    <t>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Example key file:
# Specify the dconf path
[org/gnome/desktop/session]
# Number of seconds of inactivity before the screen goes blank
# Set to 0 seconds if you want to deactivate the screensaver.
idle-delay=uint32 900
# Specify the dconf path
[org/gnome/desktop/screensaver]
# Number of seconds after the screen is blank before locking the screen
lock-delay=uint32 5
Setting a lock-out value reduces the window of opportunity for unauthorized user access to another user's session that has been left unattended.</t>
  </si>
  <si>
    <t>Create or edit a file in the /etc/dconf/profile/ and verify it includes the following:
user-db:user
system-db:{NAME_OF_DCONF_DATABASE}
Note: local is the name of a dconf database used in the examples.
Example:
# echo -e '
user-db:user
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t>
  </si>
  <si>
    <t>1.7.3 Ensure GDM disable-user-list option is enabled</t>
  </si>
  <si>
    <t>The command script with multiple lines returned : 
- GNOME Desktop Manager isn't installed
 - Recommendation is Not Applicable
- Audit result:
  *** PASS ***</t>
  </si>
  <si>
    <t>GDM is the GNOME Display Manager which handles graphical login for GNOME based systems.
The disable-user-list option controls if a list of users is displayed on the login screen
Displaying the user list eliminates half of the Userid/Password equation that an unauthorized person would need to log on.</t>
  </si>
  <si>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
system-db:$l_gdmprofile
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
[org/gnome/login-screen]
# Do not show the user list
disable-user-list=true" &gt;&gt; /etc/dconf/db/$l_gdmprofile.d/00-login-screen
      else
         sed -ri '/^s*[org/gnome/login-screen]/ a# Do not show the user list
disable-user-list=true' $(grep -Pil -- '^h*[org/gnome/login-screen]' /etc/dconf/db/$l_gdmprofile.d/*)
      fi
   fi
   dconf update
}
Note: When the user profile is created or changed, the user will need to log out and log in again before the changes will be applied.
OR
Run the following command to remove the GNOME package:
# yum remove gdm</t>
  </si>
  <si>
    <t>800-171|3.5.11, 800-171r3|03.05.11, 800-53|IA-6, 800-53r5|IA-6, CSF2.0|PR.AA-01, GDPR|32.1.b, HIPAA|164.306(a)(1), HIPAA|164.312(d), ISO-27001-2022|A.8.5, ITSG-33|IA-6, ITSG-33|IA-6a., LEVEL|1A, NESA|T5.5.1, QCSC-v1|13.2</t>
  </si>
  <si>
    <t>1.7.2 Ensure GDM login banner is configured</t>
  </si>
  <si>
    <t>The command script with multiple lines returned : 
- GNOME Desktop Manager isn't installed
 - Recommendation is Not Applicable
- Audit result:
  *** PASS ***
- Audit Result:
  ** PASS **</t>
  </si>
  <si>
    <t>cmd: multiple line script
dont_echo_cmd: NO
expect: PASS</t>
  </si>
  <si>
    <t>GDM is the GNOME Display Manager which handles graphical login for GNOME based systems.
Warning messages inform users who are attempting to login to the system of their legal status regarding the system and must include the name of the organization that owns the system and any monitoring policies that are in place.</t>
  </si>
  <si>
    <t>Run the following script to verify that the banner message is enabled and set: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
 - Package: \"$l_pn\" exists on the system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
system-db:$l_gdmprofile
file-db:/usr/share/$l_gdmprofile/greeter-dconf-defaults"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
[org/gnome/login-screen]
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
 - GNOME Desktop Manager isn't installed
 - Recommendation is Not Applicable
 - No remediation required
"
   fi
}
Note:
 -
There is no character limit for the banner message. gnome-shell autodetects longer stretches of text and enters two column mode.
 -
The banner message cannot be read from an external file.
OR
Run the following command to remove the gdm package:
# yum remove gdm</t>
  </si>
  <si>
    <t>1.7.10 Ensure XDMCP is not enabled</t>
  </si>
  <si>
    <t>X Display Manager Control Protocol (XDMCP) is designed to provide authenticated access to display management services for remote displays
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</si>
  <si>
    <t>Edit the file /etc/gdm/custom.conf and remove the line:
Enable=true</t>
  </si>
  <si>
    <t>1.6.6 Ensure access to /etc/issue.net is configured</t>
  </si>
  <si>
    <t>The file /etc/issue.net with fmode owner: root group: root mode: 0644 uid: 0 gid: 0 uneven permissions : FALSE is compliant with the policy value 
/etc/issue.net</t>
  </si>
  <si>
    <t>file: /etc/issue.net
group: root
mask: 133
owner: root</t>
  </si>
  <si>
    <t>The contents of the /etc/issue.net file are displayed to users prior to login for remote connections from configured services.
-IF- the /etc/issue.net file does not have the correct access configured, it could be modified by unauthorized users with incorrect or misleading information.</t>
  </si>
  <si>
    <t>Run the following commands to set mode, owner, and group on /etc/issue.net :
# chown root:root $(readlink -e /etc/issue.net)
# chmod u-x,go-wx $(readlink -e /etc/issue.net)</t>
  </si>
  <si>
    <t>1.6.5 Ensure access to /etc/issue is configured</t>
  </si>
  <si>
    <t>The file /etc/issue with fmode owner: root group: root mode: 0644 uid: 0 gid: 0 uneven permissions : FALSE is compliant with the policy value 
/etc/issue</t>
  </si>
  <si>
    <t>file: /etc/issue
group: root
mask: 133
owner: root</t>
  </si>
  <si>
    <t>The contents of the /etc/issue file are displayed to users prior to login for local terminals.
-IF- the /etc/issue file does not have the correct access configured, it could be modified by unauthorized users with incorrect or misleading information.</t>
  </si>
  <si>
    <t>Run the following commands to set mode, owner, and group on /etc/issue :
# chown root:root $(readlink -e /etc/issue)
# chmod u-x,go-wx $(readlink -e /etc/issue)</t>
  </si>
  <si>
    <t>1.6.4 Ensure access to /etc/motd is configured</t>
  </si>
  <si>
    <t>The file /etc/motd with fmode owner: root group: root mode: 0644 uid: 0 gid: 0 uneven permissions : FALSE is compliant with the policy value 
/etc/motd</t>
  </si>
  <si>
    <t>file: /etc/motd
group: root
mask: 133
owner: root
required: NO</t>
  </si>
  <si>
    <t>The contents of the /etc/motd file are displayed to users after login and function as a message of the day for authenticated users.
-IF- the /etc/motd file does not have the correct access configured, it could be modified by unauthorized users with incorrect or misleading information.</t>
  </si>
  <si>
    <t>Run the following commands to set mode, owner, and group on /etc/motd :
# chown root:root $(readlink -e /etc/motd)
# chmod u-x,go-wx $(readlink -e /etc/motd)
-OR-
Run the following command to remove the /etc/motd file:
# rm /etc/motd</t>
  </si>
  <si>
    <t>1.5.1.8 Ensure SETroubleshoot is not installed</t>
  </si>
  <si>
    <t>The package 'setroubleshoot-0.0.0-0' is not installed</t>
  </si>
  <si>
    <t>operator: lt
rpm: setroubleshoot-0.0.0-0</t>
  </si>
  <si>
    <t>The SETroubleshoot service notifies desktop users of SELinux denials through a user-friendly interface. The service provides important information around configuration errors, unauthorized intrusions, and other potential errors.
The SETroubleshoot service is an unnecessary daemon to have running on a server, especially if X Windows is disabled.</t>
  </si>
  <si>
    <t>Run the following command to uninstall setroubleshoot :
# yum remove setroubleshoot</t>
  </si>
  <si>
    <t>800-171|3.4.2, 800-171|3.4.6, 800-171|3.4.7, 800-171r3|03.04.02, 800-171r3|03.04.06, 800-53|CM-6, 800-53|CM-7, 800-53r5|CM-6, 800-53r5|CM-7, CSCv7|14.6, CSCv8|4.8, CSF|PR.IP-1, CSF|PR.PT-3, CSF2.0|DE.CM-09, CSF2.0|PR.PS-01, GDPR|32.1.b, HIPAA|164.306(a)(1), ISO-27001-2022|A.8.9, ITSG-33|CM-6, ITSG-33|CM-7, LEVEL|1A, NIAv2|SS15a, PCI-DSSv3.2.1|2.2.2, SWIFT-CSCv1|2.3</t>
  </si>
  <si>
    <t>1.5.1.7 Ensure the MCS Translation Service (mcstrans) is not installed</t>
  </si>
  <si>
    <t>The package 'mcstrans-0.0.0-0' is not installed</t>
  </si>
  <si>
    <t>operator: lt
rpm: mcstrans-0.0.0-0</t>
  </si>
  <si>
    <t>The mcstransd daemon provides category label information to client processes requesting information. The label translations are defined in /etc/selinux/targeted/setrans.conf
Since this service is not used very often, remove it to reduce the amount of potentially vulnerable code running on the system.</t>
  </si>
  <si>
    <t>Run the following command to uninstall mcstrans :
# yum remove mcstrans</t>
  </si>
  <si>
    <t>1.5.1.6 Ensure no unconfined services exist</t>
  </si>
  <si>
    <t>'The command '/bin/ps -eZ | /bin/grep unconfined_service_t | /bin/awk -F: '{ print $NF } END {if (NR == 0) print "none"}'' returned : 
none</t>
  </si>
  <si>
    <t>cmd: /bin/ps -eZ | /bin/grep unconfined_service_t | /bin/awk -F: '{ print $NF } END {if (NR == 0) print "none"}'
expect: ^none$</t>
  </si>
  <si>
    <t>Unconfined processes run in unconfined domains
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t>
  </si>
  <si>
    <t>Investigate any unconfined processes found during the audit action. They may need to have an existing security context assigned to them or a policy built for them.</t>
  </si>
  <si>
    <t>800-171|3.1.1, 800-171|3.1.4, 800-171|3.1.5, 800-171|3.8.1, 800-171|3.8.2, 800-171|3.8.3, 800-171r3|03.01.02, 800-171r3|03.01.04, 800-171r3|03.01.05a., 800-171r3|03.08.02, 800-53|AC-3, 800-53|AC-5, 800-53|AC-6, 800-53|MP-2, 800-53r5|AC-3, 800-53r5|AC-5, 800-53r5|AC-6, 800-53r5|MP-2, CN-L3|7.1.3.2(b), CN-L3|7.1.3.2(g), CN-L3|8.1.4.2(d), CN-L3|8.1.4.2(f), CN-L3|8.1.4.11(b), CN-L3|8.1.10.2(c), CN-L3|8.1.10.6(a), CN-L3|8.5.3.1, CN-L3|8.5.4.1(a), CSCv7|9.2, CSCv8|3.3, CSF|PR.AC-4, CSF|PR.DS-5, CSF|PR.PT-2, CSF|PR.PT-3, CSF2.0|PR.AA-05, CSF2.0|PR.DS-10, CSF2.0|PR.IR-01, GDPR|32.1.b, HIPAA|164.306(a)(1), HIPAA|164.312(a)(1), ISO-27001-2022|A.5.3, ISO-27001-2022|A.5.10, ISO-27001-2022|A.5.15, ISO-27001-2022|A.5.33, ISO-27001-2022|A.7.7, ISO-27001-2022|A.7.10, ISO-27001-2022|A.8.2, ISO-27001-2022|A.8.3, ISO-27001-2022|A.8.18, ISO-27001-2022|A.8.20, ISO/IEC-27001|A.6.1.2, ISO/IEC-27001|A.9.4.1, ISO/IEC-27001|A.9.4.5, ITSG-33|AC-3, ITSG-33|AC-5, ITSG-33|AC-6, ITSG-33|MP-2, ITSG-33|MP-2a., LEVEL|1A, NESA|T1.3.2, NESA|T1.3.3, NESA|T1.4.1, NESA|T4.2.1, NESA|T5.1.1, NESA|T5.2.2, NESA|T5.4.1, NESA|T5.4.4, NESA|T5.4.5, NESA|T5.5.4, NESA|T5.6.1, NESA|T7.5.2, NESA|T7.5.3, NIAv2|AM1, NIAv2|AM3, NIAv2|AM23f, NIAv2|SS13c, NIAv2|SS15c, NIAv2|SS29, PCI-DSSv3.2.1|7.1.2, PCI-DSSv4.0|7.2.1, PCI-DSSv4.0|7.2.2, QCSC-v1|3.2, QCSC-v1|5.2.2, QCSC-v1|6.2, QCSC-v1|13.2, SWIFT-CSCv1|5.1, TBA-FIISB|31.1, TBA-FIISB|31.4.2, TBA-FIISB|31.4.3</t>
  </si>
  <si>
    <t>1.5.1.4 Ensure the SELinux mode is not disabled</t>
  </si>
  <si>
    <t>'All of the following must pass to satisfy this requirement:
-------------------------
PASSED - /etc/selinux/config
Compliant file(s):
      /etc/selinux/config - regex '(?i)^[\s]*SeLinux[\s]*=' found - expect '(?i)^[\s]*SeLinux[\s]*=[\s]*(Enforcing|Permissive)[\s]*$' found in the following lines:
          7: SELINUX=enforcing
-------------------------
PASSED - getenforce
The command '/sbin/getenforce' returned : 
Enforcing</t>
  </si>
  <si>
    <t>SELinux can run in one of three modes: disabled, permissive, or enforcing:
 - Enforcing - Is the default, and recommended, mode of operation; in enforcing mode SELinux operates normally, enforcing the loaded security policy on the entire system.
 - Permissive - The system acts as if SELinux is enforcing the loaded security policy, including labeling objects and emitting access denial entries in the logs, but it does not actually deny any operations. While not recommended for production systems, permissive mode can be helpful for SELinux policy development.
 - Disabled - Is strongly discouraged; not only does the system avoid enforcing the SELinux policy, it also avoids labeling any persistent objects such as files, making it difficult to enable SELinux in the future
Note: You can set individual domains to permissive mode while the system runs in enforcing mode. For example, to make the httpd_t domain permissive:
# semanage permissive -a httpd_t
Running SELinux in disabled mode is strongly discouraged; not only does the system avoid enforcing the SELinux policy, it also avoids labeling any persistent objects such as files, making it difficult to enable SELinux in the future.</t>
  </si>
  <si>
    <t>Run one of the following commands to set SELinux's running mode:
To set SELinux mode to Enforcing :
# setenforce 1
-OR-
To set SELinux mode to Permissive :
# setenforce 0
Edit the /etc/selinux/config file to set the SELINUX parameter:
For Enforcing mode:
SELINUX=enforcing
-OR-
For Permissive mode:
SELINUX=permissive</t>
  </si>
  <si>
    <t>1.5.1.3 Ensure SELinux policy is configured</t>
  </si>
  <si>
    <t>'All of the following must pass to satisfy this requirement:
-------------------------
PASSED - sestatus
The command '/sbin/sestatus' returned : 
SELinux status:                 enabled
SELinuxfs mount:                /sys/fs/selinux
SELinux root directory:         /etc/selinux
Loaded policy name:             targeted
Current mode:                   enforcing
Mode from config file:          enforcing
Policy MLS status:              enabled
Policy deny_unknown status:     allowed
Max kernel policy version:      31
-------------------------
PASSED - /etc/selinux/config
Compliant file(s):
      /etc/selinux/config - regex '^[\s]*(?i)SELINUXTYPE(?-i)[\s]*=' found - expect '^[\s]*(?i)SELINUXTYPE(?-i)[\s]*=(?i)(targeted|mls)(?-i)[\s]*$' found in the following lines:
          12: SELINUXTYPE=targeted</t>
  </si>
  <si>
    <t>Configure SELinux to meet or exceed the default targeted policy, which constrains daemons and system software only.
Security configuration requirements vary from site to site. Some sites may mandate a policy that is stricter than the default policy, which is perfectly acceptable. This item is intended to ensure that at least the default recommendations are met.</t>
  </si>
  <si>
    <t>Edit the /etc/selinux/config file to set the SELINUXTYPE parameter:
SELINUXTYPE=targeted</t>
  </si>
  <si>
    <t>1.5.1.2 Ensure SELinux is not disabled in bootloader configuration</t>
  </si>
  <si>
    <t>'All of the following must pass to satisfy this requirement:
-------------------------
PASSED - Running configuration
The command '/sbin/grubby --info=ALL | /bin/grep -Po '(selinux|enforcing)=0' | /bin/awk '{print} END {if (NR == 0) print "pass" ; else print "fail"}'' returned : 
pass
-------------------------
PASSED - Grub configuration
The following file(s) do not contain "^\h*GRUB_CMDLINE_LINUX(_DEFAULT)?=\"([^#\n\r]+\h+)?(selinux|enforcing)=[^1\n\r]\d*\b": 
      /etc/default/grub</t>
  </si>
  <si>
    <t>Configure SELINUX to be enabled at boot time and verify that it has not been overwritten by the grub boot parameters.
SELinux must be enabled at boot time in your grub configuration to ensure that the controls it provides are not overridden.</t>
  </si>
  <si>
    <t>Run the following command to remove the selinux=0 and enforcing=0 parameters:
grubby --update-kernel ALL --remove-args "selinux=0 enforcing=0"
Edit /etc/default/grub and remove selinux=0 and enforcing=0 from all lines beginning with GRUB_CMDLINE_LINUX= or GRUB_CMDLINE_LINUX_DEFAULT= :
Example:
# sed -ri 's/s*(selinux|enforcing)=0s*//g' /etc/default/grub
Impact:
Files created while SELinux is disabled are not labeled at all. This behavior causes problems when changing to enforcing mode because files are labeled incorrectly or are not labeled at all. To prevent incorrectly labeled and unlabeled files from causing problems, file systems are automatically relabeled when changing from the disabled state to permissive or enforcing mode. This can be a long running process that should be accounted for as it may extend downtime during initial re-boot.</t>
  </si>
  <si>
    <t>1.5.1.1 Ensure SELinux is installed</t>
  </si>
  <si>
    <t>The local RPM is newer than libselinux-0.0.0-0 (libselinux-2.5-15.el7)</t>
  </si>
  <si>
    <t>operator: gt
required: YES
rpm: libselinux-0.0.0-0</t>
  </si>
  <si>
    <t>SELinux provides Mandatory Access Control.
Without a Mandatory Access Control system installed only the default Discretionary Access Control system will be available.</t>
  </si>
  <si>
    <t>Run the following command to install SELinux :
# yum install libselinux</t>
  </si>
  <si>
    <t>1.4.4 Ensure core dump storage is disabled</t>
  </si>
  <si>
    <t>'Compliant file(s):
      /etc/systemd/coredump.conf - regex '(?i)^\h*Storage' found - expect '(?i)^\h*Storage\h*=\h*none\b' found in the following lines:
          23: Storage=none</t>
  </si>
  <si>
    <t>expect: (?i)^\h*Storage\h*=\h*none\b
file: /etc/systemd/coredump.conf
regex: (?i)^\h*Storage</t>
  </si>
  <si>
    <t>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t>
  </si>
  <si>
    <t>Create or edit the file /etc/systemd/coredump.conf and edit or add the following line:
Storage=none</t>
  </si>
  <si>
    <t>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t>
  </si>
  <si>
    <t>1.4.3 Ensure core dump backtraces are disabled</t>
  </si>
  <si>
    <t>'Compliant file(s):
      /etc/systemd/coredump.conf - regex '(?i)^\h*ProcessSizeMax' found - expect '(?i)^\h*ProcessSizeMax\h*=\h*0\b' found in the following lines:
          22: ProcessSizeMax=0</t>
  </si>
  <si>
    <t>expect: (?i)^\h*ProcessSizeMax\h*=\h*0\b
file: /etc/systemd/coredump.conf
regex: (?i)^\h*ProcessSizeMax</t>
  </si>
  <si>
    <t>A core dump is the memory of an executable program. It is generally used to determine why a program aborted. It can also be used to glean confidential information from a core file.
A core dump includes a memory image taken at the time the operating system terminates an application. The memory image could contain sensitive data and is generally useful only for developers trying to debug problems, increasing the risk to the system.</t>
  </si>
  <si>
    <t>Create or edit the file /etc/systemd/coredump.conf and edit or add the following line:
ProcessSizeMax=0</t>
  </si>
  <si>
    <t>1.4.2 Ensure ptrace_scope is restricted</t>
  </si>
  <si>
    <t>The command script with multiple lines returned : 
- Audit Result:
  ** PASS **
 - "kernel.yama.ptrace_scope" is correctly set to "1" in the running configuration
 - "kernel.yama.ptrace_scope" is correctly set to "1" in "/etc/sysctl.d/60-kernel_sysctl.conf"</t>
  </si>
  <si>
    <t>The ptrace() system call provides a means by which one process (the "tracer") may observe and control the execution of another process (the "tracee"), and examine and change the tracee's memory and registers.
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</si>
  <si>
    <t>Set the following parameter in /etc/sysctl.conf or a file in /etc/sysctl.d/ ending inconf :
 - kernel.yama.ptrace_scope = 1
Example:
# printf '%s
' "kernel.yama.ptrace_scope = 1" &gt;&gt; /etc/sysctl.d/60-kernel_sysctl.conf
Run the following command to set the active kernel parameter:
# sysctl -w kernel.yama.ptrace_scope=1
Note: If these settings appear in a canonically later file, or later in the same file, these settings will be overwritten</t>
  </si>
  <si>
    <t>1.3.3 Ensure authentication required for single user mode</t>
  </si>
  <si>
    <t>'All of the following must pass to satisfy this requirement:
-------------------------
PASSED - /usr/lib/systemd/system/emergency.service
Compliant file(s):
      /usr/lib/systemd/system/emergency.service - regex '^ExecStart=-/bin/sh -c "(/usr)?/sbin/sulogin; (/usr)?/bin/systemctl --fail --no-block default"' found - expect '^ExecStart=-/bin/sh -c "(/usr)?/sbin/sulogin; (/usr)?/bin/systemctl --fail --no-block default"' found in the following lines:
          21: ExecStart=-/bin/sh -c "/usr/sbin/sulogin; /usr/bin/systemctl --fail --no-block default"
-------------------------
PASSED - /usr/lib/systemd/system/rescue.service
Compliant file(s):
      /usr/lib/systemd/system/rescue.service - regex '^ExecStart=-/bin/sh -c "(/usr)?/sbin/sulogin; (/usr)?/bin/systemctl --fail --no-block default"' found - expect '^ExecStart=-/bin/sh -c "(/usr)?/sbin/sulogin; (/usr)?/bin/systemctl --fail --no-block default"' found in the following lines:
          21: ExecStart=-/bin/sh -c "/usr/sbin/sulogin; /usr/bin/systemctl --fail --no-block default"</t>
  </si>
  <si>
    <t>Single user mode (rescue mode) is used for recovery when the system detects an issue during boot or by manual selection from the bootloader.
Note: The systemctl option --fail is synonymous with --job-mode=fail Using either is acceptable.
Requiring authentication in single user mode (rescue mode) prevents an unauthorized user from rebooting the system into single user to gain root privileges without credentials.</t>
  </si>
  <si>
    <t>Edit /usr/lib/systemd/system/rescue.service and /usr/lib/systemd/system/emergency.service and set ExecStart to use /sbin/sulogin or /usr/sbin/sulogin :
ExecStart=-/bin/sh -c "/sbin/sulogin; /usr/bin/systemctl --fail --no-block default"</t>
  </si>
  <si>
    <t>1.3.2 Ensure permissions on bootloader config are configured</t>
  </si>
  <si>
    <t>The command script with multiple lines returned : 
find: '/boot/efi/EFI/redhat': Permission denied
find: '/boot/grub2': Permission denied
- Audit Result:
  *** PASS ***
- * Correctly set * :</t>
  </si>
  <si>
    <t>The grub files contain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t>
  </si>
  <si>
    <t>Run the following to update the mode, ownership, and group ownership of the grub configuration files:
-IF- the system uses UEFI (Files located in /boot/efi/EFI/* )
Edit /etc/fstab and add the fmask=0077 uid=0 and gid=0 options:
Example:
&lt;device&gt; /boot/efi vfat defaults,umask=0027,fmask=0077,uid=0,gid=0 0 0
Note: This may require a re-boot to enable the change
-OR-
-IF- the system uses BIOS (Files located in /boot/grub2/* )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</si>
  <si>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1.2.2 Ensure gpgcheck is globally activated</t>
  </si>
  <si>
    <t>'All of the following must pass to satisfy this requirement:
-------------------------
PASSED - yum.repos.d configuration is set correctly
The following file(s) do not contain "^\h*gpgcheck\h*=\h*(0|[2-9]|[1-9][0-9]+|[a-zA-Z_]+)\b": 
      /etc/yum.repos.d/oracle-linux-ol7.repo
      /etc/yum.repos.d/oracle-linux-ol7.repo.backup.20251111_125747
      /etc/yum.repos.d/oracle-linux-ol7.repo.backup.20251111_125749
      /etc/yum.repos.d/uek-ol7.repo
      /etc/yum.repos.d/uek-ol7.repo.backup.20251111_125747
      /etc/yum.repos.d/uek-ol7.repo.backup.20251111_125749
      /etc/yum.repos.d/virt-ol7.repo
      /etc/yum.repos.d/virt-ol7.repo.backup.20251111_125747
      /etc/yum.repos.d/virt-ol7.repo.backup.20251111_125749
-------------------------
PASSED - Global configuration is set correctly
Compliant file(s):
      /etc/yum.conf - regex '^[\s]*gpgcheck[\s]*=' found - expect '^[\s]*gpgcheck[\s]*=[\s]*1[\s]*$' found in the following lines:
          9: gpgcheck=1</t>
  </si>
  <si>
    <t>The gpgcheck option, found in the main section of the /etc/yum.conf and individual /etc/yum.repos.d/* files, determines if an RPM package's signature is checked prior to its installation.
It is important to ensure that an RPM's package signature is always checked prior to installation to ensure that the software is obtained from a trusted source.</t>
  </si>
  <si>
    <t>Edit /etc/yum.conf and set gpgcheck=1 in the [main] section.
Example:
# sed -i 's/^gpgchecks*=s*.*/gpgcheck=1/' /etc/yum.conf
Edit any failing files in /etc/yum.repos.d/* and set all instances starting with gpgcheck to 1
Example:
# find /etc/yum.repos.d/ -name "*.repo" -exec echo "Checking:" {} ; -exec sed -ri 's/^gpgchecks*=s*.*/gpgcheck=1/' {} ;</t>
  </si>
  <si>
    <t>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t>
  </si>
  <si>
    <t>1.1.2.7.4 Ensure noexec option set on /var/log/audit partition</t>
  </si>
  <si>
    <t>No matching files were found</t>
  </si>
  <si>
    <t>expect: noexec
file: /proc/self/mountinfo
regex: [\s]+/var/log/audit[\s]+
required: NO</t>
  </si>
  <si>
    <t>The noexec mount option specifies that the filesystem cannot contain executable binaries.
Since the /var/log/audit filesystem is only intended for audit logs, set this option to ensure that users cannot run executable binaries from /var/log/audit</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</si>
  <si>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</si>
  <si>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1.1.2.7.3 Ensure nosuid option set on /var/log/audit partition</t>
  </si>
  <si>
    <t>expect: nosuid
file: /proc/self/mountinfo
regex: [\s]+/var/log/audit[\s]+
required: NO</t>
  </si>
  <si>
    <t>The nosuid mount option specifies that the filesystem cannot contain setuid files.
Since the /var/log/audit filesystem is only intended for variable files such as logs, set this option to ensure that users cannot create setuid files in /var/log/audit</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</si>
  <si>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</si>
  <si>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1.1.2.7.2 Ensure nodev option set on /var/log/audit partition</t>
  </si>
  <si>
    <t>expect: nodev
file: /proc/self/mountinfo
regex: [\s]+/var/log/audit[\s]+
required: NO</t>
  </si>
  <si>
    <t>The nodev mount option specifies that the filesystem cannot contain special devices.
Since the /var/log/audit filesystem is not intended to support devices, set this option to ensure that users cannot create a block or character special devices in /var/log/audit</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</si>
  <si>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</si>
  <si>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1.1.2.6.4 Ensure noexec option set on /var/log partition</t>
  </si>
  <si>
    <t>expect: noexec
file: /proc/self/mountinfo
regex: [\s]+/var/log[\s]+
required: NO</t>
  </si>
  <si>
    <t>The noexec mount option specifies that the filesystem cannot contain executable binaries.
Since the /var/log filesystem is only intended for log files, set this option to ensure that users cannot run executable binaries from /var/log</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</si>
  <si>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</si>
  <si>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1.1.2.6.3 Ensure nosuid option set on /var/log partition</t>
  </si>
  <si>
    <t>expect: nosuid
file: /proc/self/mountinfo
regex: [\s]+/var/log[\s]+
required: NO</t>
  </si>
  <si>
    <t>The nosuid mount option specifies that the filesystem cannot contain setuid files.
Since the /var/log filesystem is only intended for log files, set this option to ensure that users cannot create setuid files in /var/log</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</si>
  <si>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</si>
  <si>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1.1.2.6.2 Ensure nodev option set on /var/log partition</t>
  </si>
  <si>
    <t>expect: nodev
file: /proc/self/mountinfo
regex: [\s]+/var/log[\s]+
required: NO</t>
  </si>
  <si>
    <t>The nodev mount option specifies that the filesystem cannot contain special devices.
Since the /var/log filesystem is not intended to support devices, set this option to ensure that users cannot create a block or character special devices in /var/log</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</si>
  <si>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</si>
  <si>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1.1.2.5.4 Ensure noexec option set on /var/tmp partition</t>
  </si>
  <si>
    <t>expect: noexec
file: /proc/self/mountinfo
regex: [\s]+/var/tmp[\s]+
required: NO</t>
  </si>
  <si>
    <t>The noexec mount option specifies that the filesystem cannot contain executable binaries.
Since the /var/tmp filesystem is only intended for temporary file storage, set this option to ensure that users cannot run executable binaries from /var/tmp</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</si>
  <si>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</si>
  <si>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1.1.2.5.3 Ensure nosuid option set on /var/tmp partition</t>
  </si>
  <si>
    <t>expect: nosuid
file: /proc/self/mountinfo
regex: [\s]+/var/tmp[\s]+
required: NO</t>
  </si>
  <si>
    <t>The nosuid mount option specifies that the filesystem cannot contain setuid files.
Since the /var/tmp filesystem is only intended for temporary file storage, set this option to ensure that users cannot create setuid files in /var/tmp</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</si>
  <si>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</si>
  <si>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1.1.2.5.2 Ensure nodev option set on /var/tmp partition</t>
  </si>
  <si>
    <t>expect: nodev
file: /proc/self/mountinfo
regex: [\s]+/var/tmp[\s]+
required: NO</t>
  </si>
  <si>
    <t>The nodev mount option specifies that the filesystem cannot contain special devices.
Since the /var/tmp filesystem is not intended to support devices, set this option to ensure that users cannot create a block or character special devices in /var/tmp</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</si>
  <si>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</si>
  <si>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1.1.2.4.3 Ensure nosuid option set on /var partition</t>
  </si>
  <si>
    <t>'Compliant file(s):
      /proc/self/mountinfo - regex '[\s]+/var[\s]+' found - expect 'nosuid' found in the following lines:
          32: 53 43 7:1 / /var rw,nosuid,nodev,relatime shared:32 - ext4 /dev/loop1 rw,seclabel,data=ordered</t>
  </si>
  <si>
    <t>expect: nosuid
file: /proc/self/mountinfo
regex: [\s]+/var[\s]+
required: NO</t>
  </si>
  <si>
    <t>The nosuid mount option specifies that the filesystem cannot contain setuid files.
Since the /var filesystem is only intended for variable files such as logs, set this option to ensure that users cannot create setuid files in /var</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</si>
  <si>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</si>
  <si>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1.1.2.4.2 Ensure nodev option set on /var partition</t>
  </si>
  <si>
    <t>'Compliant file(s):
      /proc/self/mountinfo - regex '[\s]+/var[\s]+' found - expect 'nodev' found in the following lines:
          32: 53 43 7:1 / /var rw,nosuid,nodev,relatime shared:32 - ext4 /dev/loop1 rw,seclabel,data=ordered</t>
  </si>
  <si>
    <t>expect: nodev
file: /proc/self/mountinfo
regex: [\s]+/var[\s]+
required: NO</t>
  </si>
  <si>
    <t>The nodev mount option specifies that the filesystem cannot contain special devices.
Since the /var filesystem is not intended to support devices, set this option to ensure that users cannot create a block or character special devices in /var</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</si>
  <si>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</si>
  <si>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1.1.2.3.3 Ensure nosuid option set on /home partition</t>
  </si>
  <si>
    <t>'Compliant file(s):
      /proc/self/mountinfo - regex '[\s]+/home[\s]+' found - expect 'nosuid' found in the following lines:
          33: 52 43 7:0 / /home rw,nosuid,nodev,relatime shared:33 - ext4 /dev/loop0 rw,seclabel,data=ordered</t>
  </si>
  <si>
    <t>expect: nosuid
file: /proc/self/mountinfo
regex: [\s]+/home[\s]+
required: NO</t>
  </si>
  <si>
    <t>The nosuid mount option specifies that the filesystem cannot contain setuid files.
Since the /home filesystem is only intended for user file storage, set this option to ensure that users cannot create setuid files in /home</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</si>
  <si>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</si>
  <si>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1.1.2.3.2 Ensure nodev option set on /home partition</t>
  </si>
  <si>
    <t>'Compliant file(s):
      /proc/self/mountinfo - regex '[\s]+/home[\s]+' found - expect 'nodev' found in the following lines:
          33: 52 43 7:0 / /home rw,nosuid,nodev,relatime shared:33 - ext4 /dev/loop0 rw,seclabel,data=ordered</t>
  </si>
  <si>
    <t>expect: nodev
file: /proc/self/mountinfo
regex: [\s]+/home[\s]+
required: NO</t>
  </si>
  <si>
    <t>The nodev mount option specifies that the filesystem cannot contain special devices.
Since the /home filesystem is not intended to support devices, set this option to ensure that users cannot create a block or character special devices in /home</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</si>
  <si>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</si>
  <si>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1.1.2.2.4 Ensure noexec option set on /dev/shm partition</t>
  </si>
  <si>
    <t>Compliant file(s):
      /proc/self/mountinfo - regex '[\s]+/dev/shm[\s]+' found - expect 'noexec' found in the following lines:
          5: 24 22 0:21 / /dev/shm rw,nosuid,nodev,noexec,relatime shared:3 - tmpfs tmpfs rw,seclabel</t>
  </si>
  <si>
    <t>expect: noexec
file: /proc/self/mountinfo
regex: [\s]+/dev/shm[\s]+
required: NO</t>
  </si>
  <si>
    <t>The noexec mount option specifies that the filesystem cannot contain executable binaries.
Setting this option on a file system prevents users from executing programs from shared memory. This deters users from introducing potentially malicious software on the system.</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</si>
  <si>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</si>
  <si>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1.1.2.2.3 Ensure nosuid option set on /dev/shm partition</t>
  </si>
  <si>
    <t>Compliant file(s):
      /proc/self/mountinfo - regex '[\s]+/dev/shm[\s]+' found - expect 'nosuid' found in the following lines:
          5: 24 22 0:21 / /dev/shm rw,nosuid,nodev,noexec,relatime shared:3 - tmpfs tmpfs rw,seclabel</t>
  </si>
  <si>
    <t>expect: nosuid
file: /proc/self/mountinfo
regex: [\s]+/dev/shm[\s]+
required: NO</t>
  </si>
  <si>
    <t>The nosuid mount option specifies that the filesystem cannot contain setuid files.
Setting this option on a file system prevents users from introducing privileged programs onto the system and allowing non-root users to execute them.</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</si>
  <si>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</si>
  <si>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1.1.2.2.2 Ensure nodev option set on /dev/shm partition</t>
  </si>
  <si>
    <t>Compliant file(s):
      /proc/self/mountinfo - regex '[\s]+/dev/shm[\s]+' found - expect 'nodev' found in the following lines:
          5: 24 22 0:21 / /dev/shm rw,nosuid,nodev,noexec,relatime shared:3 - tmpfs tmpfs rw,seclabel</t>
  </si>
  <si>
    <t>expect: nodev
file: /proc/self/mountinfo
regex: [\s]+/dev/shm[\s]+
required: NO</t>
  </si>
  <si>
    <t>The nodev mount option specifies that the filesystem cannot contain special devices.
Since the /dev/shm filesystem is not intended to support devices, set this option to ensure that users cannot attempt to create special devices in /dev/shm partitions.</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</si>
  <si>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</si>
  <si>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1.1.2.2.1 Ensure /dev/shm is a separate partition</t>
  </si>
  <si>
    <t>Compliant file(s):
      /proc/self/mountinfo - regex '[\s]+/dev/shm[\s]+' found - expect '[\s]+/dev/shm[\s]+' found in the following lines:
          5: 24 22 0:21 / /dev/shm rw,nosuid,nodev,noexec,relatime shared:3 - tmpfs tmpfs rw,seclabel</t>
  </si>
  <si>
    <t>expect: [\s]+/dev/shm[\s]+
file: /proc/self/mountinfo
regex: [\s]+/dev/shm[\s]+
required: NO</t>
  </si>
  <si>
    <t>The /dev/shm directory is a world-writable directory that can function as shared memory that facilitates inter process communication (IPC).
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t>
  </si>
  <si>
    <t>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t>
  </si>
  <si>
    <t>1.1.2.1.4 Ensure noexec option set on /tmp partition</t>
  </si>
  <si>
    <t>Compliant file(s):
      /proc/self/mountinfo - regex '[\s]+/tmp[\s]+' found - expect 'noexec' found in the following lines:
          30: 51 43 0:43 / /tmp rw,nosuid,nodev,noexec,relatime shared:30 - tmpfs tmpfs rw,seclabel</t>
  </si>
  <si>
    <t>expect: noexec
file: /proc/self/mountinfo
regex: [\s]+/tmp[\s]+
required: NO</t>
  </si>
  <si>
    <t>The noexec mount option specifies that the filesystem cannot contain executable binaries.
Since the /tmp filesystem is only intended for temporary file storage, set this option to ensure that users cannot run executable binaries from /tmp</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</si>
  <si>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t>
  </si>
  <si>
    <t>1.1.2.1.3 Ensure nosuid option set on /tmp partition</t>
  </si>
  <si>
    <t>Compliant file(s):
      /proc/self/mountinfo - regex '[\s]+/tmp[\s]+' found - expect 'nosuid' found in the following lines:
          30: 51 43 0:43 / /tmp rw,nosuid,nodev,noexec,relatime shared:30 - tmpfs tmpfs rw,seclabel</t>
  </si>
  <si>
    <t>expect: nosuid
file: /proc/self/mountinfo
regex: [\s]+/tmp[\s]+
required: NO</t>
  </si>
  <si>
    <t>The nosuid mount option specifies that the filesystem cannot contain setuid files.
Since the /tmp filesystem is only intended for temporary file storage, set this option to ensure that users cannot create setuid files in /tmp</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</si>
  <si>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</si>
  <si>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1.1.2.1.2 Ensure nodev option set on /tmp partition</t>
  </si>
  <si>
    <t>Compliant file(s):
      /proc/self/mountinfo - regex '[\s]+/tmp[\s]+' found - expect 'nodev' found in the following lines:
          30: 51 43 0:43 / /tmp rw,nosuid,nodev,noexec,relatime shared:30 - tmpfs tmpfs rw,seclabel</t>
  </si>
  <si>
    <t>expect: nodev
file: /proc/self/mountinfo
regex: [\s]+/tmp[\s]+
required: NO</t>
  </si>
  <si>
    <t>The nodev mount option specifies that the filesystem cannot contain special devices.
Since the /tmp filesystem is not intended to support devices, set this option to ensure that users cannot create a block or character special devices in /tmp</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</si>
  <si>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</si>
  <si>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1.1.2.1.1 Ensure /tmp is a separate partition</t>
  </si>
  <si>
    <t>The command '/bin/findmnt -nk /tmp' returned : 
/tmp   tmpfs  tmpfs  rw,nosuid,nodev,noexec,relatime,seclabel</t>
  </si>
  <si>
    <t>cmd: /bin/findmnt -nk /tmp
expect: ^[\s]*/tmp[\s]+</t>
  </si>
  <si>
    <t>The /tmp directory is a world-writable directory used for temporary storage by all users and some applications.
-IF- an entry for /tmp exists in /etc/fstab it will take precedence over entries in systemd default unit file.
Note: In an environment where the main system is diskless and connected to iSCSI, entries in /etc/fstab may not take precedence.
/tmp can be configured to use tmpfs
tmpfs puts everything into the kernel internal caches and grows and shrinks to accommodate the files it contains and is able to swap unneeded pages out to swap space. It has maximum size limits which can be adjusted on the fly via mount -o remount
Since tmpfs lives completely in the page cache and on swap, all tmpfs pages will be shown as "Shmem" in /proc/meminfo and "Shared" in free Notice that these counters also include shared memory. The most reliable way to get the count is using df and du
tmpfs has three mount options for sizing:
 - size : The limit of allocated bytes for this tmpfs instance. The default is half of your physical RAM without swap. If you oversize your tmpfs instances the machine will deadlock since the OOM handler will not be able to free that memory.
 - nr_blocks : The same as size, but in blocks of PAGE_SIZE.
 - nr_inodes : The maximum number of inodes for this instance. The default is half of the number of your physical RAM pages, or (on a machine with highmem) the number of lowmem RAM pages, whichever is the lower.
These parameters accept a suffix k, m or g and can be changed on remount. The size parameter also accepts a suffix %to limit this tmpfs instance to that percentage of your physical RAM. The default, when neither size nor nr_blocks is specified, is size=50%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</si>
  <si>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Create or update an entry for /tmp in /etc/fstab :
_ Example:_
tmpfs	/tmp	tmpfs defaults,rw,nosuid,nodev,noexec,relatime 0 0
Run the following command to remount /tmp
# mount -o remount,noexec,nodev,nosuid /tmp
- OR - if /tmp is not already mounted, run the following command to mount /tmp :
# mount /tmp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</si>
  <si>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1.1.1.8 Ensure usb-storage kernel module is not available</t>
  </si>
  <si>
    <t>The command script with multiple lines returned : 
-- INFO --
 - module: "usb-storage" exists in:
  - "/lib/modules/3.10.0-1062.el7.x86_64/kernel/drivers"
  - "/lib/modules/3.10.0-1160.119.1.0.5.el7.x86_64/kernel/drivers"
  - "/lib/modules/4.14.35-1902.3.2.el7uek.x86_64/kernel/drivers"
  - "/lib/modules/4.14.35-2047.543.3.1.el7uek.x86_64/kernel/drivers"
- Audit Result:
  ** PASS **
 - module: "usb-storage" is deny listed in: "/etc/modprobe.d/usb_storage.conf"
 - module: "usb-storage" is not loadable: "install /bin/false "
 - module: "usb-storage" is not loaded</t>
  </si>
  <si>
    <t>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
Restricting USB access on the system will decrease the physical attack surface for a device and diminish the possible vectors to introduce malware.</t>
  </si>
  <si>
    <t>Run the following script to disable the usb-storage module:
-IF- the module is available in the running kernel:
 - Create a file ending inconf with install usb-storage /bin/false in the /etc/modprobe.d/ directory
 - Create a file ending inconf with blacklist usb-storage in the /etc/modprobe.d/ directory
 - Unload usb-storage from the kernel
-IF- available in ANY installed kernel:
 - Create a file ending inconf with blacklist usb-storage in the /etc/modprobe.d/ directory
-IF- the kernel module is not available on the system or pre-compiled into the kernel:
 - No remediation is necessary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
Impact:
Disabling the usb-storage module will disable any usage of USB storage devices.
If requirements and local site policy allow the use of such devices, other solutions should be configured accordingly instead. One example of a commonly used solution is USBGuard</t>
  </si>
  <si>
    <t>800-171|3.8.7, 800-171r3|03.08.07, 800-53|MP-7, 800-53r5|MP-7, CN-L3|8.5.4.1(c), CSCv7|13.7, CSCv8|10.3, CSF|PR.PT-2, GDPR|32.1.b, HIPAA|164.306(a)(1), HIPAA|164.312(a)(1), ISO-27001-2022|A.5.10, ISO-27001-2022|A.7.10, ISO/IEC-27001|A.8.3.1, ISO/IEC-27001|A.8.3.3, LEVEL|1A, NESA|T1.4.1</t>
  </si>
  <si>
    <t>1.1.1.5 Ensure jffs2 kernel module is not available</t>
  </si>
  <si>
    <t>The command script with multiple lines returned : 
-- INFO --
 - module: "jffs2" exists in:
  - "/lib/modules/4.14.35-1902.3.2.el7uek.x86_64/kernel/fs"
  - "/lib/modules/4.14.35-2047.543.3.1.el7uek.x86_64/kernel/fs"
- Audit Result:
  ** PASS **
 - module: "jffs2" doesn't exist in "/lib/modules/3.10.0-1062.el7.x86_64/kernel/fs"
 - module: "jffs2" doesn't exist in "/lib/modules/3.10.0-1160.119.1.0.5.el7.x86_64/kernel/fs"
 - module: "jffs2" is deny listed in: "/etc/modprobe.d/jffs2.conf"
 - module: "jffs2" is not loadable: "install /bin/false "
 - module: "jffs2" is not loaded</t>
  </si>
  <si>
    <t>The jffs2 (journaling flash filesystem 2) filesystem type is a log-structured filesystem used in flash memory devices.
Removing support for unneeded filesystem types reduces the local attack surface of the system. If this filesystem type is not needed, disable it.</t>
  </si>
  <si>
    <t>Run the following script to disable the jffs2 module:
-IF- the module is available in the running kernel:
 - Create a file ending inconf with install jffs2 /bin/false in the /etc/modprobe.d/ directory
 - Create a file ending inconf with blacklist jffs2 in the /etc/modprobe.d/ directory
 - Unload jffs2 from the kernel
-IF- available in ANY installed kernel:
 - Create a file ending inconf with blacklist jffs2 in the /etc/modprobe.d/ directory
-IF- the kernel module is not available on the system or pre-compiled into the kernel:
 - No remediation is necessary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</si>
  <si>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1.1.1.4 Ensure hfsplus kernel module is not available</t>
  </si>
  <si>
    <t>The command script with multiple lines returned : 
- Audit Result:
  ** PASS **
 - module: "hfsplus" doesn't exist in "/lib/modules/3.10.0-1062.el7.x86_64/kernel/fs"
 - module: "hfsplus" doesn't exist in "/lib/modules/3.10.0-1160.119.1.0.5.el7.x86_64/kernel/fs"
 - module: "hfsplus" doesn't exist in "/lib/modules/4.14.35-1902.3.2.el7uek.x86_64/kernel/fs"
 - module: "hfsplus" doesn't exist in "/lib/modules/4.14.35-2047.543.3.1.el7uek.x86_64/kernel/fs"</t>
  </si>
  <si>
    <t>The hfsplus filesystem type is a hierarchical filesystem designed to replace hfs that allows you to mount Mac OS filesystems.
Removing support for unneeded filesystem types reduces the local attack surface of the system. If this filesystem type is not needed, disable it.</t>
  </si>
  <si>
    <t>Run the following script to disable the hfsplus module:
-IF- the module is available in the running kernel:
 - Create a file ending inconf with install hfsplus /bin/false in the /etc/modprobe.d/ directory
 - Create a file ending inconf with blacklist hfsplus in the /etc/modprobe.d/ directory
 - Unload hfsplus from the kernel
-IF- available in ANY installed kernel:
 - Create a file ending inconf with blacklist hfsplus in the /etc/modprobe.d/ directory
-IF- the kernel module is not available on the system or pre-compiled into the kernel:
 - No remediation is necessary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</si>
  <si>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1.1.1.3 Ensure hfs kernel module is not available</t>
  </si>
  <si>
    <t>The command script with multiple lines returned : 
- Audit Result:
  ** PASS **
 - module: "hfs" doesn't exist in "/lib/modules/3.10.0-1062.el7.x86_64/kernel/fs"
 - module: "hfs" doesn't exist in "/lib/modules/3.10.0-1160.119.1.0.5.el7.x86_64/kernel/fs"
 - module: "hfs" doesn't exist in "/lib/modules/4.14.35-1902.3.2.el7uek.x86_64/kernel/fs"
 - module: "hfs" doesn't exist in "/lib/modules/4.14.35-2047.543.3.1.el7uek.x86_64/kernel/fs"</t>
  </si>
  <si>
    <t>The hfs filesystem type is a hierarchical filesystem that allows you to mount Mac OS filesystems.
Removing support for unneeded filesystem types reduces the local attack surface of the system. If this filesystem type is not needed, disable it.</t>
  </si>
  <si>
    <t>Run the following script to disable the hfs module:
-IF- the module is available in the running kernel:
 - Create a file ending inconf with install hfs /bin/false in the /etc/modprobe.d/ directory
 - Create a file ending inconf with blacklist hfs in the /etc/modprobe.d/ directory
 - Unload hfs from the kernel
-IF- available in ANY installed kernel:
 - Create a file ending inconf with blacklist hfs in the /etc/modprobe.d/ directory
-IF- the kernel module is not available on the system or pre-compiled into the kernel:
 - No remediation is necessary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</si>
  <si>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1.1.1.2 Ensure freevxfs kernel module is not available</t>
  </si>
  <si>
    <t>The command script with multiple lines returned : 
- Audit Result:
  ** PASS **
 - module: "freevxfs" doesn't exist in "/lib/modules/3.10.0-1062.el7.x86_64/kernel/fs"
 - module: "freevxfs" doesn't exist in "/lib/modules/3.10.0-1160.119.1.0.5.el7.x86_64/kernel/fs"
 - module: "freevxfs" doesn't exist in "/lib/modules/4.14.35-1902.3.2.el7uek.x86_64/kernel/fs"
 - module: "freevxfs" doesn't exist in "/lib/modules/4.14.35-2047.543.3.1.el7uek.x86_64/kernel/fs"</t>
  </si>
  <si>
    <t>The freevxfs filesystem type is a free version of the Veritas type filesystem. This is the primary filesystem type for HP-UX operating systems.
Removing support for unneeded filesystem types reduces the local attack surface of the system. If this filesystem type is not needed, disable it.</t>
  </si>
  <si>
    <t>Run the following script to disable the freevxfs module:
-IF- the module is available in the running kernel:
 - Create a file ending inconf with install freevxfs /bin/false in the /etc/modprobe.d/ directory
 - Create a file ending inconf with blacklist freevxfs in the /etc/modprobe.d/ directory
 - Unload freevxfs from the kernel
-IF- available in ANY installed kernel:
 - Create a file ending inconf with blacklist freevxfs in the /etc/modprobe.d/ directory
-IF- the kernel module is not available on the system or pre-compiled into the kernel:
 - No remediation is necessary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</si>
  <si>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1.1.1.1 Ensure cramfs kernel module is not available</t>
  </si>
  <si>
    <t>The command script with multiple lines returned : 
-- INFO --
 - module: "cramfs" exists in:
  - "/lib/modules/3.10.0-1062.el7.x86_64/kernel/fs"
  - "/lib/modules/3.10.0-1160.119.1.0.5.el7.x86_64/kernel/fs"
  - "/lib/modules/4.14.35-1902.3.2.el7uek.x86_64/kernel/fs"
  - "/lib/modules/4.14.35-2047.543.3.1.el7uek.x86_64/kernel/fs"
- Audit Result:
  ** PASS **
 - module: "cramfs" is deny listed in: "/etc/modprobe.d/cramfs.conf"
 - module: "cramfs" is not loadable: "install /bin/false "
 - module: "cramfs" is not loaded</t>
  </si>
  <si>
    <t>The cramfs filesystem type is a compressed read-only Linux filesystem embedded in small footprint systems. A cramfs image can be used without having to first decompress the image.
Removing support for unneeded filesystem types reduces the local attack surface of the system. If this filesystem type is not needed, disable it.</t>
  </si>
  <si>
    <t>Run the following script to disable the cramfs module:
-IF- the module is available in the running kernel:
 - Create a file ending inconf with install cramfs /bin/false in the /etc/modprobe.d/ directory
 - Create a file ending inconf with blacklist cramfs in the /etc/modprobe.d/ directory
 - Unload cramfs from the kernel
-IF- available in ANY installed kernel:
 - Create a file ending inconf with blacklist cramfs in the /etc/modprobe.d/ directory
-IF- the kernel module is not available on the system or pre-compiled into the kernel:
 -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/etc/modprobe.d/"$l_mpname".conf
      fi
   }
   module_loaded_fix()
   {
      # If the module is currently loaded, unload the module
      if lsmod | grep "$l_mname" &gt; /dev/null 2&gt;&amp;1; then
         echo -e "
 - unloading module \"$l_mname\""
         modprobe -r "$l_mname"
      fi
   }
   module_deny_fix()
   {
      # If the module isn't deny listed, denylist the module
      if ! modprobe --showconfig | grep -Pq -- "^h*blacklisth+$l_mpnameb"; then
         echo -e "
 - deny listing \"$l_mname\""
         echo -e "blacklist $l_mname" &gt;&gt; /etc/modprobe.d/"$l_mpname".conf
      fi
   }
   # Check if the module exists on the system
   for l_mdir in $l_mpath; do
      if [ -d "$l_mdir/$l_mndir" ] &amp;&amp; [ -n "$(ls -A $l_mdir/$l_mndir)" ]; then
         echo -e "
 - module: \"$l_mname\" exists in \"$l_mdir\"
 - checking if disabled..."
         module_deny_fix
         if [ "$l_mdir" = "/lib/modules/$(uname -r)/kernel/$l_mtype" ]; then
            module_loadable_fix
            module_loaded_fix
         fi
      else
         echo -e "
 - module: \"$l_mname\" doesn't exist in \"$l_mdir\"
"
      fi
   done
   echo -e "
 - remediation of module: \"$l_mname\" complete
"
}</t>
  </si>
  <si>
    <t>CIS_Oracle_Linux_7_v4.0.0_L1_Server.audit from CIS Oracle Linux 7 Benchmark v4.0.0</t>
  </si>
  <si>
    <t>User Location</t>
  </si>
  <si>
    <t>SID</t>
  </si>
  <si>
    <t>type</t>
  </si>
  <si>
    <t>Never Changed Password</t>
  </si>
  <si>
    <t>Automatic Account Disabled</t>
  </si>
  <si>
    <t>Account Disabled</t>
  </si>
  <si>
    <t>Never Logged In</t>
  </si>
  <si>
    <t>Guest Account Belongs to a Group</t>
  </si>
  <si>
    <t>Administrators</t>
  </si>
  <si>
    <t>Domain Administrators</t>
  </si>
  <si>
    <t>Account Operators</t>
  </si>
  <si>
    <t>Server Operators</t>
  </si>
  <si>
    <t>Backup Operators</t>
  </si>
  <si>
    <t>Print Operators</t>
  </si>
  <si>
    <t>Replicator</t>
  </si>
  <si>
    <t>User Account Sumamry</t>
  </si>
  <si>
    <t>User Type Count</t>
  </si>
  <si>
    <t>Domain Administrator account</t>
  </si>
  <si>
    <t>Domain Guest account</t>
  </si>
  <si>
    <t>Domain User</t>
  </si>
  <si>
    <t>Administrator account</t>
  </si>
  <si>
    <t>Guest account</t>
  </si>
  <si>
    <t>Local User</t>
  </si>
  <si>
    <t>Unknown</t>
  </si>
  <si>
    <t>User</t>
  </si>
  <si>
    <t>Group</t>
  </si>
  <si>
    <t>Computer Account</t>
  </si>
  <si>
    <t>Critical Severity Vulnerability Top 10 By Plugin Family</t>
  </si>
  <si>
    <t>High Severity Vulnerability Top 10 By Plugin Family</t>
  </si>
  <si>
    <t>Medium Severity Vulnerability Top 10 By Plugin Family</t>
  </si>
  <si>
    <t>Complaince Family</t>
  </si>
  <si>
    <t>Compliance Check</t>
  </si>
  <si>
    <t>Unix Compliance Checks</t>
  </si>
  <si>
    <t>IP Count</t>
  </si>
  <si>
    <t>IP Addresses</t>
  </si>
  <si>
    <t>Informational (0)</t>
  </si>
  <si>
    <t>Medium (2)</t>
  </si>
  <si>
    <t>High (3)</t>
  </si>
  <si>
    <t>Host</t>
  </si>
  <si>
    <t>Host Summary Table operating-system</t>
  </si>
  <si>
    <t>operating-system Values</t>
  </si>
  <si>
    <t>Count</t>
  </si>
  <si>
    <t>Host Summary Table local-checks-proto</t>
  </si>
  <si>
    <t>local-checks-proto Values</t>
  </si>
  <si>
    <t>Host Summary Table name</t>
  </si>
  <si>
    <t>name Values</t>
  </si>
  <si>
    <t>Host Summary Table sev0</t>
  </si>
  <si>
    <t>The number of Hosts with sev0 discovered</t>
  </si>
  <si>
    <t>Host Summary Table sev1</t>
  </si>
  <si>
    <t>The number of Hosts with sev1 discovered</t>
  </si>
  <si>
    <t>Host Summary Table sev2</t>
  </si>
  <si>
    <t>The number of Hosts with sev2 discovered</t>
  </si>
  <si>
    <t>Host Summary Table sev3</t>
  </si>
  <si>
    <t>The number of Hosts with sev3 discovered</t>
  </si>
  <si>
    <t>Host Summary Table sev4</t>
  </si>
  <si>
    <t>The number of Hosts with sev4 discovered</t>
  </si>
  <si>
    <t>Host Summary Table Minimum password len</t>
  </si>
  <si>
    <t>Minimum password len Values</t>
  </si>
  <si>
    <t>Host Summary Table Password history len</t>
  </si>
  <si>
    <t>Password history len Values</t>
  </si>
  <si>
    <t>Host Summary Table Maximum password age (d)</t>
  </si>
  <si>
    <t>Maximum password age (d) Values</t>
  </si>
  <si>
    <t>Host Summary Table Password must meet complexity requirements</t>
  </si>
  <si>
    <t>Password must meet complexity requirements Values</t>
  </si>
  <si>
    <t>Host Summary Table Minimum password age (d)</t>
  </si>
  <si>
    <t>Minimum password age (d) Values</t>
  </si>
  <si>
    <t>Host Summary Table Forced logoff time (s)</t>
  </si>
  <si>
    <t>Forced logoff time (s) Values</t>
  </si>
  <si>
    <t>Host Summary Table Locked account time (s)</t>
  </si>
  <si>
    <t>Locked account time (s) Values</t>
  </si>
  <si>
    <t>Host Summary Table Time between failed logon (s)</t>
  </si>
  <si>
    <t>Time between failed logon (s) Values</t>
  </si>
  <si>
    <t>Host Summary Table Number of invalid logon before locked out (s)</t>
  </si>
  <si>
    <t>Number of invalid logon before locked out (s) Values</t>
  </si>
  <si>
    <t>Home Page for Nessus Report_20251111145451</t>
  </si>
  <si>
    <t>host_scan_data</t>
  </si>
  <si>
    <t>ScanInfo</t>
  </si>
  <si>
    <t>CVSSv3 Score Total</t>
  </si>
  <si>
    <t>Information</t>
  </si>
  <si>
    <t>CPE Report Data</t>
  </si>
  <si>
    <t>HostConfigData</t>
  </si>
  <si>
    <t>portScanData</t>
  </si>
  <si>
    <t>Unix Policy</t>
  </si>
  <si>
    <t>UserAccountData</t>
  </si>
  <si>
    <t>Summary Report Data</t>
  </si>
  <si>
    <t>PolicySummary Report Data</t>
  </si>
  <si>
    <t>Vulnerability to IP Summary</t>
  </si>
  <si>
    <t>Authentication Summary Data</t>
  </si>
  <si>
    <t>HostSummary Report Data</t>
  </si>
  <si>
    <t>Overall Summary Data</t>
  </si>
  <si>
    <t>Number of IP's Scanned</t>
  </si>
  <si>
    <t>Number of Discovered Systems</t>
  </si>
  <si>
    <t>Total Unique Critical Severity Vulnerability</t>
  </si>
  <si>
    <t>Total Unique High Severity Vulnerability</t>
  </si>
  <si>
    <t>Total Unique Medium Severity Vulnerability</t>
  </si>
  <si>
    <t>Total Unique Low Severity Vulnerability</t>
  </si>
  <si>
    <t>Total Unique Informational Severity Vulnerability</t>
  </si>
  <si>
    <t>Total Count of Critical Severity Vulnerability</t>
  </si>
  <si>
    <t>Total Count of High Severity Vulnerability</t>
  </si>
  <si>
    <t>Total Count of Medium Severity Vulnerability</t>
  </si>
  <si>
    <t>Total Count of Low Severity Vulnerability</t>
  </si>
  <si>
    <t>The most common Critical Severity vulnerability</t>
  </si>
  <si>
    <t>The most common high Severity vulnerability</t>
  </si>
  <si>
    <t>Number of System with a critical(4) Severity Vulnerability</t>
  </si>
  <si>
    <t>Number of System with a High(3) Severity Vulnerability</t>
  </si>
  <si>
    <t>Number of System with a Medium(2) Severity Vulnerability</t>
  </si>
  <si>
    <t>Number of System with a Low(1) Severity Vulnerability</t>
  </si>
  <si>
    <t>Number of System with a Informational(NONE-0) Severity Vulnerability</t>
  </si>
  <si>
    <t>Row Labels</t>
  </si>
  <si>
    <t>Grand Total</t>
  </si>
  <si>
    <t>Count of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</si>
</sst>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scheme val="minor"/>
    </font>
    <font>
      <u/>
      <sz val="11"/>
      <color rgb="FF0000FF"/>
      <name val="Calibri"/>
      <family val="2"/>
      <scheme val="minor"/>
    </font>
  </fonts>
  <fills count="3">
    <fill>
      <patternFill patternType="none"/>
    </fill>
    <fill>
      <patternFill patternType="gray125"/>
    </fill>
    <fill>
      <patternFill patternType="solid">
        <fgColor rgb="FF00000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xf>
    <xf numFmtId="0" fontId="2" fillId="0" borderId="0" xfId="0" applyFont="1"/>
    <xf numFmtId="0" fontId="0" fillId="0" borderId="2" xfId="0" applyBorder="1" applyAlignment="1">
      <alignment horizontal="left"/>
    </xf>
    <xf numFmtId="0" fontId="1" fillId="2"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operating-system</a:t>
            </a:r>
          </a:p>
        </c:rich>
      </c:tx>
      <c:overlay val="0"/>
    </c:title>
    <c:autoTitleDeleted val="0"/>
    <c:plotArea>
      <c:layout/>
      <c:pieChart>
        <c:varyColors val="1"/>
        <c:ser>
          <c:idx val="0"/>
          <c:order val="0"/>
          <c:tx>
            <c:v>Host Summary Table operating-system</c:v>
          </c:tx>
          <c:cat>
            <c:strRef>
              <c:f>'HostSummary Report Data'!$A$4</c:f>
              <c:strCache>
                <c:ptCount val="1"/>
                <c:pt idx="0">
                  <c:v>Linux Kernel 4.14.35-2047.543.3.1.el7uek.x86_64 on Oracle Linux Server release 7.9</c:v>
                </c:pt>
              </c:strCache>
            </c:strRef>
          </c:cat>
          <c:val>
            <c:numRef>
              <c:f>'HostSummary Report Data'!$B$4</c:f>
              <c:numCache>
                <c:formatCode>General</c:formatCode>
                <c:ptCount val="1"/>
                <c:pt idx="0">
                  <c:v>1</c:v>
                </c:pt>
              </c:numCache>
            </c:numRef>
          </c:val>
          <c:extLst>
            <c:ext xmlns:c16="http://schemas.microsoft.com/office/drawing/2014/chart" uri="{C3380CC4-5D6E-409C-BE32-E72D297353CC}">
              <c16:uniqueId val="{00000000-FA82-4351-A290-517D0FB12B0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local-checks-proto</a:t>
            </a:r>
          </a:p>
        </c:rich>
      </c:tx>
      <c:overlay val="0"/>
    </c:title>
    <c:autoTitleDeleted val="0"/>
    <c:plotArea>
      <c:layout/>
      <c:pieChart>
        <c:varyColors val="1"/>
        <c:ser>
          <c:idx val="0"/>
          <c:order val="0"/>
          <c:tx>
            <c:v>Host Summary Table local-checks-proto</c:v>
          </c:tx>
          <c:cat>
            <c:strRef>
              <c:f>'HostSummary Report Data'!$A$17</c:f>
              <c:strCache>
                <c:ptCount val="1"/>
                <c:pt idx="0">
                  <c:v>ssh</c:v>
                </c:pt>
              </c:strCache>
            </c:strRef>
          </c:cat>
          <c:val>
            <c:numRef>
              <c:f>'HostSummary Report Data'!$B$17</c:f>
              <c:numCache>
                <c:formatCode>General</c:formatCode>
                <c:ptCount val="1"/>
                <c:pt idx="0">
                  <c:v>1</c:v>
                </c:pt>
              </c:numCache>
            </c:numRef>
          </c:val>
          <c:extLst>
            <c:ext xmlns:c16="http://schemas.microsoft.com/office/drawing/2014/chart" uri="{C3380CC4-5D6E-409C-BE32-E72D297353CC}">
              <c16:uniqueId val="{00000000-82AD-4BFA-AAB5-CED2D83856A5}"/>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name</a:t>
            </a:r>
          </a:p>
        </c:rich>
      </c:tx>
      <c:overlay val="0"/>
    </c:title>
    <c:autoTitleDeleted val="0"/>
    <c:plotArea>
      <c:layout/>
      <c:pieChart>
        <c:varyColors val="1"/>
        <c:ser>
          <c:idx val="0"/>
          <c:order val="0"/>
          <c:tx>
            <c:v>Host Summary Table name</c:v>
          </c:tx>
          <c:cat>
            <c:strRef>
              <c:f>'HostSummary Report Data'!$A$30</c:f>
              <c:strCache>
                <c:ptCount val="1"/>
                <c:pt idx="0">
                  <c:v>192.168.0.75</c:v>
                </c:pt>
              </c:strCache>
            </c:strRef>
          </c:cat>
          <c:val>
            <c:numRef>
              <c:f>'HostSummary Report Data'!$B$30</c:f>
              <c:numCache>
                <c:formatCode>General</c:formatCode>
                <c:ptCount val="1"/>
                <c:pt idx="0">
                  <c:v>1</c:v>
                </c:pt>
              </c:numCache>
            </c:numRef>
          </c:val>
          <c:extLst>
            <c:ext xmlns:c16="http://schemas.microsoft.com/office/drawing/2014/chart" uri="{C3380CC4-5D6E-409C-BE32-E72D297353CC}">
              <c16:uniqueId val="{00000000-5531-4BAB-86FA-B713E7CDA331}"/>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sev0</a:t>
            </a:r>
          </a:p>
        </c:rich>
      </c:tx>
      <c:overlay val="0"/>
    </c:title>
    <c:autoTitleDeleted val="0"/>
    <c:plotArea>
      <c:layout/>
      <c:pieChart>
        <c:varyColors val="1"/>
        <c:ser>
          <c:idx val="0"/>
          <c:order val="0"/>
          <c:tx>
            <c:v>Host Summary Table sev0</c:v>
          </c:tx>
          <c:cat>
            <c:numRef>
              <c:f>'HostSummary Report Data'!$A$43</c:f>
              <c:numCache>
                <c:formatCode>General</c:formatCode>
                <c:ptCount val="1"/>
                <c:pt idx="0">
                  <c:v>10</c:v>
                </c:pt>
              </c:numCache>
            </c:numRef>
          </c:cat>
          <c:val>
            <c:numRef>
              <c:f>'HostSummary Report Data'!$B$43</c:f>
              <c:numCache>
                <c:formatCode>General</c:formatCode>
                <c:ptCount val="1"/>
                <c:pt idx="0">
                  <c:v>1</c:v>
                </c:pt>
              </c:numCache>
            </c:numRef>
          </c:val>
          <c:extLst>
            <c:ext xmlns:c16="http://schemas.microsoft.com/office/drawing/2014/chart" uri="{C3380CC4-5D6E-409C-BE32-E72D297353CC}">
              <c16:uniqueId val="{00000000-0E2A-4A0A-94F2-3EBF461E8349}"/>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sev1</a:t>
            </a:r>
          </a:p>
        </c:rich>
      </c:tx>
      <c:overlay val="0"/>
    </c:title>
    <c:autoTitleDeleted val="0"/>
    <c:plotArea>
      <c:layout/>
      <c:pieChart>
        <c:varyColors val="1"/>
        <c:ser>
          <c:idx val="0"/>
          <c:order val="0"/>
          <c:tx>
            <c:v>Host Summary Table sev1</c:v>
          </c:tx>
          <c:cat>
            <c:numRef>
              <c:f>'HostSummary Report Data'!$A$56</c:f>
              <c:numCache>
                <c:formatCode>General</c:formatCode>
                <c:ptCount val="1"/>
                <c:pt idx="0">
                  <c:v>0</c:v>
                </c:pt>
              </c:numCache>
            </c:numRef>
          </c:cat>
          <c:val>
            <c:numRef>
              <c:f>'HostSummary Report Data'!$B$56</c:f>
              <c:numCache>
                <c:formatCode>General</c:formatCode>
                <c:ptCount val="1"/>
                <c:pt idx="0">
                  <c:v>1</c:v>
                </c:pt>
              </c:numCache>
            </c:numRef>
          </c:val>
          <c:extLst>
            <c:ext xmlns:c16="http://schemas.microsoft.com/office/drawing/2014/chart" uri="{C3380CC4-5D6E-409C-BE32-E72D297353CC}">
              <c16:uniqueId val="{00000000-FF77-4BA5-B069-C6D7AA9F33B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sev2</a:t>
            </a:r>
          </a:p>
        </c:rich>
      </c:tx>
      <c:overlay val="0"/>
    </c:title>
    <c:autoTitleDeleted val="0"/>
    <c:plotArea>
      <c:layout/>
      <c:pieChart>
        <c:varyColors val="1"/>
        <c:ser>
          <c:idx val="0"/>
          <c:order val="0"/>
          <c:tx>
            <c:v>Host Summary Table sev2</c:v>
          </c:tx>
          <c:cat>
            <c:numRef>
              <c:f>'HostSummary Report Data'!$A$69</c:f>
              <c:numCache>
                <c:formatCode>General</c:formatCode>
                <c:ptCount val="1"/>
                <c:pt idx="0">
                  <c:v>0</c:v>
                </c:pt>
              </c:numCache>
            </c:numRef>
          </c:cat>
          <c:val>
            <c:numRef>
              <c:f>'HostSummary Report Data'!$B$69</c:f>
              <c:numCache>
                <c:formatCode>General</c:formatCode>
                <c:ptCount val="1"/>
                <c:pt idx="0">
                  <c:v>1</c:v>
                </c:pt>
              </c:numCache>
            </c:numRef>
          </c:val>
          <c:extLst>
            <c:ext xmlns:c16="http://schemas.microsoft.com/office/drawing/2014/chart" uri="{C3380CC4-5D6E-409C-BE32-E72D297353CC}">
              <c16:uniqueId val="{00000000-9659-494B-A8FD-B9A21232FE73}"/>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sev3</a:t>
            </a:r>
          </a:p>
        </c:rich>
      </c:tx>
      <c:overlay val="0"/>
    </c:title>
    <c:autoTitleDeleted val="0"/>
    <c:plotArea>
      <c:layout/>
      <c:pieChart>
        <c:varyColors val="1"/>
        <c:ser>
          <c:idx val="0"/>
          <c:order val="0"/>
          <c:tx>
            <c:v>Host Summary Table sev3</c:v>
          </c:tx>
          <c:cat>
            <c:numRef>
              <c:f>'HostSummary Report Data'!$A$82</c:f>
              <c:numCache>
                <c:formatCode>General</c:formatCode>
                <c:ptCount val="1"/>
                <c:pt idx="0">
                  <c:v>0</c:v>
                </c:pt>
              </c:numCache>
            </c:numRef>
          </c:cat>
          <c:val>
            <c:numRef>
              <c:f>'HostSummary Report Data'!$B$82</c:f>
              <c:numCache>
                <c:formatCode>General</c:formatCode>
                <c:ptCount val="1"/>
                <c:pt idx="0">
                  <c:v>1</c:v>
                </c:pt>
              </c:numCache>
            </c:numRef>
          </c:val>
          <c:extLst>
            <c:ext xmlns:c16="http://schemas.microsoft.com/office/drawing/2014/chart" uri="{C3380CC4-5D6E-409C-BE32-E72D297353CC}">
              <c16:uniqueId val="{00000000-FCF9-49C2-817C-839B2A742724}"/>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sev4</a:t>
            </a:r>
          </a:p>
        </c:rich>
      </c:tx>
      <c:overlay val="0"/>
    </c:title>
    <c:autoTitleDeleted val="0"/>
    <c:plotArea>
      <c:layout/>
      <c:pieChart>
        <c:varyColors val="1"/>
        <c:ser>
          <c:idx val="0"/>
          <c:order val="0"/>
          <c:tx>
            <c:v>Host Summary Table sev4</c:v>
          </c:tx>
          <c:cat>
            <c:numRef>
              <c:f>'HostSummary Report Data'!$A$95</c:f>
              <c:numCache>
                <c:formatCode>General</c:formatCode>
                <c:ptCount val="1"/>
                <c:pt idx="0">
                  <c:v>0</c:v>
                </c:pt>
              </c:numCache>
            </c:numRef>
          </c:cat>
          <c:val>
            <c:numRef>
              <c:f>'HostSummary Report Data'!$B$95</c:f>
              <c:numCache>
                <c:formatCode>General</c:formatCode>
                <c:ptCount val="1"/>
                <c:pt idx="0">
                  <c:v>1</c:v>
                </c:pt>
              </c:numCache>
            </c:numRef>
          </c:val>
          <c:extLst>
            <c:ext xmlns:c16="http://schemas.microsoft.com/office/drawing/2014/chart" uri="{C3380CC4-5D6E-409C-BE32-E72D297353CC}">
              <c16:uniqueId val="{00000000-F727-4A79-9A0A-952C10F508F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Minimum password len</a:t>
            </a:r>
          </a:p>
        </c:rich>
      </c:tx>
      <c:overlay val="0"/>
    </c:title>
    <c:autoTitleDeleted val="0"/>
    <c:plotArea>
      <c:layout/>
      <c:pieChart>
        <c:varyColors val="1"/>
        <c:ser>
          <c:idx val="0"/>
          <c:order val="0"/>
          <c:tx>
            <c:v>Host Summary Table Minimum password len</c:v>
          </c:tx>
          <c:cat>
            <c:strRef>
              <c:f>'HostSummary Report Data'!$A$108</c:f>
              <c:strCache>
                <c:ptCount val="1"/>
                <c:pt idx="0">
                  <c:v>Unknown</c:v>
                </c:pt>
              </c:strCache>
            </c:strRef>
          </c:cat>
          <c:val>
            <c:numRef>
              <c:f>'HostSummary Report Data'!$B$108</c:f>
              <c:numCache>
                <c:formatCode>General</c:formatCode>
                <c:ptCount val="1"/>
                <c:pt idx="0">
                  <c:v>1</c:v>
                </c:pt>
              </c:numCache>
            </c:numRef>
          </c:val>
          <c:extLst>
            <c:ext xmlns:c16="http://schemas.microsoft.com/office/drawing/2014/chart" uri="{C3380CC4-5D6E-409C-BE32-E72D297353CC}">
              <c16:uniqueId val="{00000000-1AF3-4040-9CA7-4042E84E8EDD}"/>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Password history len</a:t>
            </a:r>
          </a:p>
        </c:rich>
      </c:tx>
      <c:overlay val="0"/>
    </c:title>
    <c:autoTitleDeleted val="0"/>
    <c:plotArea>
      <c:layout/>
      <c:pieChart>
        <c:varyColors val="1"/>
        <c:ser>
          <c:idx val="0"/>
          <c:order val="0"/>
          <c:tx>
            <c:v>Host Summary Table Password history len</c:v>
          </c:tx>
          <c:cat>
            <c:strRef>
              <c:f>'HostSummary Report Data'!$A$121</c:f>
              <c:strCache>
                <c:ptCount val="1"/>
                <c:pt idx="0">
                  <c:v>Unknown</c:v>
                </c:pt>
              </c:strCache>
            </c:strRef>
          </c:cat>
          <c:val>
            <c:numRef>
              <c:f>'HostSummary Report Data'!$B$121</c:f>
              <c:numCache>
                <c:formatCode>General</c:formatCode>
                <c:ptCount val="1"/>
                <c:pt idx="0">
                  <c:v>1</c:v>
                </c:pt>
              </c:numCache>
            </c:numRef>
          </c:val>
          <c:extLst>
            <c:ext xmlns:c16="http://schemas.microsoft.com/office/drawing/2014/chart" uri="{C3380CC4-5D6E-409C-BE32-E72D297353CC}">
              <c16:uniqueId val="{00000000-05B4-4D14-98B9-544A49CDD90C}"/>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Maximum password age (d)</a:t>
            </a:r>
          </a:p>
        </c:rich>
      </c:tx>
      <c:overlay val="0"/>
    </c:title>
    <c:autoTitleDeleted val="0"/>
    <c:plotArea>
      <c:layout/>
      <c:pieChart>
        <c:varyColors val="1"/>
        <c:ser>
          <c:idx val="0"/>
          <c:order val="0"/>
          <c:tx>
            <c:v>Host Summary Table Maximum password age (d)</c:v>
          </c:tx>
          <c:cat>
            <c:strRef>
              <c:f>'HostSummary Report Data'!$A$134</c:f>
              <c:strCache>
                <c:ptCount val="1"/>
                <c:pt idx="0">
                  <c:v>Unknown</c:v>
                </c:pt>
              </c:strCache>
            </c:strRef>
          </c:cat>
          <c:val>
            <c:numRef>
              <c:f>'HostSummary Report Data'!$B$134</c:f>
              <c:numCache>
                <c:formatCode>General</c:formatCode>
                <c:ptCount val="1"/>
                <c:pt idx="0">
                  <c:v>1</c:v>
                </c:pt>
              </c:numCache>
            </c:numRef>
          </c:val>
          <c:extLst>
            <c:ext xmlns:c16="http://schemas.microsoft.com/office/drawing/2014/chart" uri="{C3380CC4-5D6E-409C-BE32-E72D297353CC}">
              <c16:uniqueId val="{00000000-E590-4E21-A647-5E45283ED1C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Password must meet complexity requirements</a:t>
            </a:r>
          </a:p>
        </c:rich>
      </c:tx>
      <c:overlay val="0"/>
    </c:title>
    <c:autoTitleDeleted val="0"/>
    <c:plotArea>
      <c:layout/>
      <c:pieChart>
        <c:varyColors val="1"/>
        <c:ser>
          <c:idx val="0"/>
          <c:order val="0"/>
          <c:tx>
            <c:v>Host Summary Table Password must meet complexity requirements</c:v>
          </c:tx>
          <c:cat>
            <c:strRef>
              <c:f>'HostSummary Report Data'!$A$147</c:f>
              <c:strCache>
                <c:ptCount val="1"/>
                <c:pt idx="0">
                  <c:v>Unknown</c:v>
                </c:pt>
              </c:strCache>
            </c:strRef>
          </c:cat>
          <c:val>
            <c:numRef>
              <c:f>'HostSummary Report Data'!$B$147</c:f>
              <c:numCache>
                <c:formatCode>General</c:formatCode>
                <c:ptCount val="1"/>
                <c:pt idx="0">
                  <c:v>1</c:v>
                </c:pt>
              </c:numCache>
            </c:numRef>
          </c:val>
          <c:extLst>
            <c:ext xmlns:c16="http://schemas.microsoft.com/office/drawing/2014/chart" uri="{C3380CC4-5D6E-409C-BE32-E72D297353CC}">
              <c16:uniqueId val="{00000000-30F9-4BEF-B3CC-9FCE17F7741D}"/>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Minimum password age (d)</a:t>
            </a:r>
          </a:p>
        </c:rich>
      </c:tx>
      <c:overlay val="0"/>
    </c:title>
    <c:autoTitleDeleted val="0"/>
    <c:plotArea>
      <c:layout/>
      <c:pieChart>
        <c:varyColors val="1"/>
        <c:ser>
          <c:idx val="0"/>
          <c:order val="0"/>
          <c:tx>
            <c:v>Host Summary Table Minimum password age (d)</c:v>
          </c:tx>
          <c:cat>
            <c:strRef>
              <c:f>'HostSummary Report Data'!$A$160</c:f>
              <c:strCache>
                <c:ptCount val="1"/>
                <c:pt idx="0">
                  <c:v>Unknown</c:v>
                </c:pt>
              </c:strCache>
            </c:strRef>
          </c:cat>
          <c:val>
            <c:numRef>
              <c:f>'HostSummary Report Data'!$B$160</c:f>
              <c:numCache>
                <c:formatCode>General</c:formatCode>
                <c:ptCount val="1"/>
                <c:pt idx="0">
                  <c:v>1</c:v>
                </c:pt>
              </c:numCache>
            </c:numRef>
          </c:val>
          <c:extLst>
            <c:ext xmlns:c16="http://schemas.microsoft.com/office/drawing/2014/chart" uri="{C3380CC4-5D6E-409C-BE32-E72D297353CC}">
              <c16:uniqueId val="{00000000-6160-4B36-84B9-F5A860BAB62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Forced logoff time (s)</a:t>
            </a:r>
          </a:p>
        </c:rich>
      </c:tx>
      <c:overlay val="0"/>
    </c:title>
    <c:autoTitleDeleted val="0"/>
    <c:plotArea>
      <c:layout/>
      <c:pieChart>
        <c:varyColors val="1"/>
        <c:ser>
          <c:idx val="0"/>
          <c:order val="0"/>
          <c:tx>
            <c:v>Host Summary Table Forced logoff time (s)</c:v>
          </c:tx>
          <c:cat>
            <c:strRef>
              <c:f>'HostSummary Report Data'!$A$173</c:f>
              <c:strCache>
                <c:ptCount val="1"/>
                <c:pt idx="0">
                  <c:v>Unknown</c:v>
                </c:pt>
              </c:strCache>
            </c:strRef>
          </c:cat>
          <c:val>
            <c:numRef>
              <c:f>'HostSummary Report Data'!$B$173</c:f>
              <c:numCache>
                <c:formatCode>General</c:formatCode>
                <c:ptCount val="1"/>
                <c:pt idx="0">
                  <c:v>1</c:v>
                </c:pt>
              </c:numCache>
            </c:numRef>
          </c:val>
          <c:extLst>
            <c:ext xmlns:c16="http://schemas.microsoft.com/office/drawing/2014/chart" uri="{C3380CC4-5D6E-409C-BE32-E72D297353CC}">
              <c16:uniqueId val="{00000000-F325-4B9E-B9E4-A926A221D92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Locked account time (s)</a:t>
            </a:r>
          </a:p>
        </c:rich>
      </c:tx>
      <c:overlay val="0"/>
    </c:title>
    <c:autoTitleDeleted val="0"/>
    <c:plotArea>
      <c:layout/>
      <c:pieChart>
        <c:varyColors val="1"/>
        <c:ser>
          <c:idx val="0"/>
          <c:order val="0"/>
          <c:tx>
            <c:v>Host Summary Table Locked account time (s)</c:v>
          </c:tx>
          <c:cat>
            <c:strRef>
              <c:f>'HostSummary Report Data'!$A$186</c:f>
              <c:strCache>
                <c:ptCount val="1"/>
                <c:pt idx="0">
                  <c:v>Unknown</c:v>
                </c:pt>
              </c:strCache>
            </c:strRef>
          </c:cat>
          <c:val>
            <c:numRef>
              <c:f>'HostSummary Report Data'!$B$186</c:f>
              <c:numCache>
                <c:formatCode>General</c:formatCode>
                <c:ptCount val="1"/>
                <c:pt idx="0">
                  <c:v>1</c:v>
                </c:pt>
              </c:numCache>
            </c:numRef>
          </c:val>
          <c:extLst>
            <c:ext xmlns:c16="http://schemas.microsoft.com/office/drawing/2014/chart" uri="{C3380CC4-5D6E-409C-BE32-E72D297353CC}">
              <c16:uniqueId val="{00000000-0840-40E6-921C-D9750B138F2E}"/>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Time between failed logon (s)</a:t>
            </a:r>
          </a:p>
        </c:rich>
      </c:tx>
      <c:overlay val="0"/>
    </c:title>
    <c:autoTitleDeleted val="0"/>
    <c:plotArea>
      <c:layout/>
      <c:pieChart>
        <c:varyColors val="1"/>
        <c:ser>
          <c:idx val="0"/>
          <c:order val="0"/>
          <c:tx>
            <c:v>Host Summary Table Time between failed logon (s)</c:v>
          </c:tx>
          <c:cat>
            <c:strRef>
              <c:f>'HostSummary Report Data'!$A$199</c:f>
              <c:strCache>
                <c:ptCount val="1"/>
                <c:pt idx="0">
                  <c:v>Unknown</c:v>
                </c:pt>
              </c:strCache>
            </c:strRef>
          </c:cat>
          <c:val>
            <c:numRef>
              <c:f>'HostSummary Report Data'!$B$199</c:f>
              <c:numCache>
                <c:formatCode>General</c:formatCode>
                <c:ptCount val="1"/>
                <c:pt idx="0">
                  <c:v>1</c:v>
                </c:pt>
              </c:numCache>
            </c:numRef>
          </c:val>
          <c:extLst>
            <c:ext xmlns:c16="http://schemas.microsoft.com/office/drawing/2014/chart" uri="{C3380CC4-5D6E-409C-BE32-E72D297353CC}">
              <c16:uniqueId val="{00000000-C9F5-4544-A769-0B9CB9A91F3F}"/>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Host Summary Table Number of invalid logon before locked out (s)</a:t>
            </a:r>
          </a:p>
        </c:rich>
      </c:tx>
      <c:overlay val="0"/>
    </c:title>
    <c:autoTitleDeleted val="0"/>
    <c:plotArea>
      <c:layout/>
      <c:pieChart>
        <c:varyColors val="1"/>
        <c:ser>
          <c:idx val="0"/>
          <c:order val="0"/>
          <c:tx>
            <c:v>Host Summary Table Number of invalid logon before locked out (s)</c:v>
          </c:tx>
          <c:cat>
            <c:strRef>
              <c:f>'HostSummary Report Data'!$A$212</c:f>
              <c:strCache>
                <c:ptCount val="1"/>
                <c:pt idx="0">
                  <c:v>Unknown</c:v>
                </c:pt>
              </c:strCache>
            </c:strRef>
          </c:cat>
          <c:val>
            <c:numRef>
              <c:f>'HostSummary Report Data'!$B$212</c:f>
              <c:numCache>
                <c:formatCode>General</c:formatCode>
                <c:ptCount val="1"/>
                <c:pt idx="0">
                  <c:v>1</c:v>
                </c:pt>
              </c:numCache>
            </c:numRef>
          </c:val>
          <c:extLst>
            <c:ext xmlns:c16="http://schemas.microsoft.com/office/drawing/2014/chart" uri="{C3380CC4-5D6E-409C-BE32-E72D297353CC}">
              <c16:uniqueId val="{00000000-EFAE-41B1-8EE0-021DED794FD7}"/>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9525</xdr:colOff>
      <xdr:row>5</xdr:row>
      <xdr:rowOff>0</xdr:rowOff>
    </xdr:from>
    <xdr:to>
      <xdr:col>10</xdr:col>
      <xdr:colOff>314325</xdr:colOff>
      <xdr:row>19</xdr:row>
      <xdr:rowOff>76200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18</xdr:row>
      <xdr:rowOff>0</xdr:rowOff>
    </xdr:from>
    <xdr:to>
      <xdr:col>10</xdr:col>
      <xdr:colOff>314325</xdr:colOff>
      <xdr:row>32</xdr:row>
      <xdr:rowOff>76200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31</xdr:row>
      <xdr:rowOff>0</xdr:rowOff>
    </xdr:from>
    <xdr:to>
      <xdr:col>10</xdr:col>
      <xdr:colOff>314325</xdr:colOff>
      <xdr:row>45</xdr:row>
      <xdr:rowOff>76200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44</xdr:row>
      <xdr:rowOff>0</xdr:rowOff>
    </xdr:from>
    <xdr:to>
      <xdr:col>10</xdr:col>
      <xdr:colOff>314325</xdr:colOff>
      <xdr:row>58</xdr:row>
      <xdr:rowOff>76200</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57</xdr:row>
      <xdr:rowOff>0</xdr:rowOff>
    </xdr:from>
    <xdr:to>
      <xdr:col>10</xdr:col>
      <xdr:colOff>314325</xdr:colOff>
      <xdr:row>71</xdr:row>
      <xdr:rowOff>76200</xdr:rowOff>
    </xdr:to>
    <xdr:graphicFrame macro="">
      <xdr:nvGraphicFramePr>
        <xdr:cNvPr id="6" name="Chart 5">
          <a:extLst>
            <a:ext uri="{FF2B5EF4-FFF2-40B4-BE49-F238E27FC236}">
              <a16:creationId xmlns:a16="http://schemas.microsoft.com/office/drawing/2014/main" id="{00000000-0008-0000-0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9525</xdr:colOff>
      <xdr:row>70</xdr:row>
      <xdr:rowOff>0</xdr:rowOff>
    </xdr:from>
    <xdr:to>
      <xdr:col>10</xdr:col>
      <xdr:colOff>314325</xdr:colOff>
      <xdr:row>84</xdr:row>
      <xdr:rowOff>76200</xdr:rowOff>
    </xdr:to>
    <xdr:graphicFrame macro="">
      <xdr:nvGraphicFramePr>
        <xdr:cNvPr id="7" name="Chart 6">
          <a:extLst>
            <a:ext uri="{FF2B5EF4-FFF2-40B4-BE49-F238E27FC236}">
              <a16:creationId xmlns:a16="http://schemas.microsoft.com/office/drawing/2014/main" id="{00000000-0008-0000-0F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xdr:colOff>
      <xdr:row>83</xdr:row>
      <xdr:rowOff>0</xdr:rowOff>
    </xdr:from>
    <xdr:to>
      <xdr:col>10</xdr:col>
      <xdr:colOff>314325</xdr:colOff>
      <xdr:row>97</xdr:row>
      <xdr:rowOff>76200</xdr:rowOff>
    </xdr:to>
    <xdr:graphicFrame macro="">
      <xdr:nvGraphicFramePr>
        <xdr:cNvPr id="8" name="Chart 7">
          <a:extLst>
            <a:ext uri="{FF2B5EF4-FFF2-40B4-BE49-F238E27FC236}">
              <a16:creationId xmlns:a16="http://schemas.microsoft.com/office/drawing/2014/main" id="{00000000-0008-0000-0F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9525</xdr:colOff>
      <xdr:row>96</xdr:row>
      <xdr:rowOff>0</xdr:rowOff>
    </xdr:from>
    <xdr:to>
      <xdr:col>10</xdr:col>
      <xdr:colOff>314325</xdr:colOff>
      <xdr:row>110</xdr:row>
      <xdr:rowOff>76200</xdr:rowOff>
    </xdr:to>
    <xdr:graphicFrame macro="">
      <xdr:nvGraphicFramePr>
        <xdr:cNvPr id="9" name="Chart 8">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9525</xdr:colOff>
      <xdr:row>109</xdr:row>
      <xdr:rowOff>0</xdr:rowOff>
    </xdr:from>
    <xdr:to>
      <xdr:col>10</xdr:col>
      <xdr:colOff>314325</xdr:colOff>
      <xdr:row>123</xdr:row>
      <xdr:rowOff>76200</xdr:rowOff>
    </xdr:to>
    <xdr:graphicFrame macro="">
      <xdr:nvGraphicFramePr>
        <xdr:cNvPr id="10" name="Chart 9">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9525</xdr:colOff>
      <xdr:row>122</xdr:row>
      <xdr:rowOff>0</xdr:rowOff>
    </xdr:from>
    <xdr:to>
      <xdr:col>10</xdr:col>
      <xdr:colOff>314325</xdr:colOff>
      <xdr:row>136</xdr:row>
      <xdr:rowOff>76200</xdr:rowOff>
    </xdr:to>
    <xdr:graphicFrame macro="">
      <xdr:nvGraphicFramePr>
        <xdr:cNvPr id="11" name="Chart 10">
          <a:extLst>
            <a:ext uri="{FF2B5EF4-FFF2-40B4-BE49-F238E27FC236}">
              <a16:creationId xmlns:a16="http://schemas.microsoft.com/office/drawing/2014/main" id="{00000000-0008-0000-0F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9525</xdr:colOff>
      <xdr:row>135</xdr:row>
      <xdr:rowOff>0</xdr:rowOff>
    </xdr:from>
    <xdr:to>
      <xdr:col>10</xdr:col>
      <xdr:colOff>314325</xdr:colOff>
      <xdr:row>149</xdr:row>
      <xdr:rowOff>76200</xdr:rowOff>
    </xdr:to>
    <xdr:graphicFrame macro="">
      <xdr:nvGraphicFramePr>
        <xdr:cNvPr id="12" name="Chart 11">
          <a:extLst>
            <a:ext uri="{FF2B5EF4-FFF2-40B4-BE49-F238E27FC236}">
              <a16:creationId xmlns:a16="http://schemas.microsoft.com/office/drawing/2014/main" id="{00000000-0008-0000-0F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9525</xdr:colOff>
      <xdr:row>148</xdr:row>
      <xdr:rowOff>0</xdr:rowOff>
    </xdr:from>
    <xdr:to>
      <xdr:col>10</xdr:col>
      <xdr:colOff>314325</xdr:colOff>
      <xdr:row>162</xdr:row>
      <xdr:rowOff>76200</xdr:rowOff>
    </xdr:to>
    <xdr:graphicFrame macro="">
      <xdr:nvGraphicFramePr>
        <xdr:cNvPr id="13" name="Chart 12">
          <a:extLst>
            <a:ext uri="{FF2B5EF4-FFF2-40B4-BE49-F238E27FC236}">
              <a16:creationId xmlns:a16="http://schemas.microsoft.com/office/drawing/2014/main" id="{00000000-0008-0000-0F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9525</xdr:colOff>
      <xdr:row>161</xdr:row>
      <xdr:rowOff>0</xdr:rowOff>
    </xdr:from>
    <xdr:to>
      <xdr:col>10</xdr:col>
      <xdr:colOff>314325</xdr:colOff>
      <xdr:row>175</xdr:row>
      <xdr:rowOff>76200</xdr:rowOff>
    </xdr:to>
    <xdr:graphicFrame macro="">
      <xdr:nvGraphicFramePr>
        <xdr:cNvPr id="14" name="Chart 13">
          <a:extLst>
            <a:ext uri="{FF2B5EF4-FFF2-40B4-BE49-F238E27FC236}">
              <a16:creationId xmlns:a16="http://schemas.microsoft.com/office/drawing/2014/main" id="{00000000-0008-0000-0F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9525</xdr:colOff>
      <xdr:row>174</xdr:row>
      <xdr:rowOff>0</xdr:rowOff>
    </xdr:from>
    <xdr:to>
      <xdr:col>10</xdr:col>
      <xdr:colOff>314325</xdr:colOff>
      <xdr:row>188</xdr:row>
      <xdr:rowOff>76200</xdr:rowOff>
    </xdr:to>
    <xdr:graphicFrame macro="">
      <xdr:nvGraphicFramePr>
        <xdr:cNvPr id="15" name="Chart 14">
          <a:extLst>
            <a:ext uri="{FF2B5EF4-FFF2-40B4-BE49-F238E27FC236}">
              <a16:creationId xmlns:a16="http://schemas.microsoft.com/office/drawing/2014/main" id="{00000000-0008-0000-0F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9525</xdr:colOff>
      <xdr:row>187</xdr:row>
      <xdr:rowOff>0</xdr:rowOff>
    </xdr:from>
    <xdr:to>
      <xdr:col>10</xdr:col>
      <xdr:colOff>314325</xdr:colOff>
      <xdr:row>201</xdr:row>
      <xdr:rowOff>76200</xdr:rowOff>
    </xdr:to>
    <xdr:graphicFrame macro="">
      <xdr:nvGraphicFramePr>
        <xdr:cNvPr id="16" name="Chart 15">
          <a:extLst>
            <a:ext uri="{FF2B5EF4-FFF2-40B4-BE49-F238E27FC236}">
              <a16:creationId xmlns:a16="http://schemas.microsoft.com/office/drawing/2014/main" id="{00000000-0008-0000-0F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9525</xdr:colOff>
      <xdr:row>200</xdr:row>
      <xdr:rowOff>0</xdr:rowOff>
    </xdr:from>
    <xdr:to>
      <xdr:col>10</xdr:col>
      <xdr:colOff>314325</xdr:colOff>
      <xdr:row>214</xdr:row>
      <xdr:rowOff>76200</xdr:rowOff>
    </xdr:to>
    <xdr:graphicFrame macro="">
      <xdr:nvGraphicFramePr>
        <xdr:cNvPr id="17" name="Chart 16">
          <a:extLst>
            <a:ext uri="{FF2B5EF4-FFF2-40B4-BE49-F238E27FC236}">
              <a16:creationId xmlns:a16="http://schemas.microsoft.com/office/drawing/2014/main" id="{00000000-0008-0000-0F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9525</xdr:colOff>
      <xdr:row>213</xdr:row>
      <xdr:rowOff>0</xdr:rowOff>
    </xdr:from>
    <xdr:to>
      <xdr:col>10</xdr:col>
      <xdr:colOff>314325</xdr:colOff>
      <xdr:row>227</xdr:row>
      <xdr:rowOff>76200</xdr:rowOff>
    </xdr:to>
    <xdr:graphicFrame macro="">
      <xdr:nvGraphicFramePr>
        <xdr:cNvPr id="18" name="Chart 17">
          <a:extLst>
            <a:ext uri="{FF2B5EF4-FFF2-40B4-BE49-F238E27FC236}">
              <a16:creationId xmlns:a16="http://schemas.microsoft.com/office/drawing/2014/main" id="{00000000-0008-0000-0F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Camargo" refreshedDate="45972.623493981482" createdVersion="8" refreshedVersion="8" minRefreshableVersion="3" recordCount="305" xr:uid="{D22B15E7-2C2A-4725-AD54-00AD4FC42BC8}">
  <cacheSource type="worksheet">
    <worksheetSource ref="G1:H1048576" sheet="Unix Policy"/>
  </cacheSource>
  <cacheFields count="2">
    <cacheField name="Policy Setting" numFmtId="0">
      <sharedItems containsBlank="1"/>
    </cacheField>
    <cacheField name="Result" numFmtId="0">
      <sharedItems containsBlank="1" count="5">
        <s v="PASSED"/>
        <s v="FAILED"/>
        <s v="WARNING"/>
        <s v="ERRO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s v="1.1.1.1 Ensure cramfs kernel module is not available"/>
    <x v="0"/>
  </r>
  <r>
    <s v="1.1.1.2 Ensure freevxfs kernel module is not available"/>
    <x v="0"/>
  </r>
  <r>
    <s v="1.1.1.3 Ensure hfs kernel module is not available"/>
    <x v="0"/>
  </r>
  <r>
    <s v="1.1.1.4 Ensure hfsplus kernel module is not available"/>
    <x v="0"/>
  </r>
  <r>
    <s v="1.1.1.5 Ensure jffs2 kernel module is not available"/>
    <x v="0"/>
  </r>
  <r>
    <s v="1.1.1.6 Ensure squashfs kernel module is not available"/>
    <x v="0"/>
  </r>
  <r>
    <s v="1.1.1.7 Ensure udf kernel module is not available"/>
    <x v="0"/>
  </r>
  <r>
    <s v="1.1.1.8 Ensure usb-storage kernel module is not available"/>
    <x v="0"/>
  </r>
  <r>
    <s v="1.1.2.1.1 Ensure /tmp is a separate partition"/>
    <x v="0"/>
  </r>
  <r>
    <s v="1.1.2.1.2 Ensure nodev option set on /tmp partition"/>
    <x v="0"/>
  </r>
  <r>
    <s v="1.1.2.1.3 Ensure nosuid option set on /tmp partition"/>
    <x v="0"/>
  </r>
  <r>
    <s v="1.1.2.1.4 Ensure noexec option set on /tmp partition"/>
    <x v="0"/>
  </r>
  <r>
    <s v="1.1.2.2.1 Ensure /dev/shm is a separate partition"/>
    <x v="0"/>
  </r>
  <r>
    <s v="1.1.2.2.2 Ensure nodev option set on /dev/shm partition"/>
    <x v="0"/>
  </r>
  <r>
    <s v="1.1.2.2.3 Ensure nosuid option set on /dev/shm partition"/>
    <x v="0"/>
  </r>
  <r>
    <s v="1.1.2.2.4 Ensure noexec option set on /dev/shm partition"/>
    <x v="0"/>
  </r>
  <r>
    <s v="1.1.2.3.1 Ensure separate partition exists for /home"/>
    <x v="0"/>
  </r>
  <r>
    <s v="1.1.2.3.2 Ensure nodev option set on /home partition"/>
    <x v="0"/>
  </r>
  <r>
    <s v="1.1.2.3.3 Ensure nosuid option set on /home partition"/>
    <x v="0"/>
  </r>
  <r>
    <s v="1.1.2.4.1 Ensure separate partition exists for /var"/>
    <x v="0"/>
  </r>
  <r>
    <s v="1.1.2.4.2 Ensure nodev option set on /var partition"/>
    <x v="0"/>
  </r>
  <r>
    <s v="1.1.2.4.3 Ensure nosuid option set on /var partition"/>
    <x v="0"/>
  </r>
  <r>
    <s v="1.1.2.5.1 Ensure separate partition exists for /var/tmp"/>
    <x v="1"/>
  </r>
  <r>
    <s v="1.1.2.5.2 Ensure nodev option set on /var/tmp partition"/>
    <x v="0"/>
  </r>
  <r>
    <s v="1.1.2.5.3 Ensure nosuid option set on /var/tmp partition"/>
    <x v="0"/>
  </r>
  <r>
    <s v="1.1.2.5.4 Ensure noexec option set on /var/tmp partition"/>
    <x v="0"/>
  </r>
  <r>
    <s v="1.1.2.6.1 Ensure separate partition exists for /var/log"/>
    <x v="1"/>
  </r>
  <r>
    <s v="1.1.2.6.2 Ensure nodev option set on /var/log partition"/>
    <x v="0"/>
  </r>
  <r>
    <s v="1.1.2.6.3 Ensure nosuid option set on /var/log partition"/>
    <x v="0"/>
  </r>
  <r>
    <s v="1.1.2.6.4 Ensure noexec option set on /var/log partition"/>
    <x v="0"/>
  </r>
  <r>
    <s v="1.1.2.7.1 Ensure separate partition exists for /var/log/audit"/>
    <x v="1"/>
  </r>
  <r>
    <s v="1.1.2.7.2 Ensure nodev option set on /var/log/audit partition"/>
    <x v="0"/>
  </r>
  <r>
    <s v="1.1.2.7.3 Ensure nosuid option set on /var/log/audit partition"/>
    <x v="0"/>
  </r>
  <r>
    <s v="1.1.2.7.4 Ensure noexec option set on /var/log/audit partition"/>
    <x v="0"/>
  </r>
  <r>
    <s v="1.2.1 Ensure GPG keys are configured"/>
    <x v="2"/>
  </r>
  <r>
    <s v="1.2.2 Ensure gpgcheck is globally activated"/>
    <x v="0"/>
  </r>
  <r>
    <s v="1.2.3 Ensure repo_gpgcheck is globally activated"/>
    <x v="0"/>
  </r>
  <r>
    <s v="1.2.4 Ensure package manager repositories are configured"/>
    <x v="2"/>
  </r>
  <r>
    <s v="1.2.5 Ensure updates, patches, and additional security software are installed"/>
    <x v="1"/>
  </r>
  <r>
    <s v="1.3.1 Ensure bootloader password is set"/>
    <x v="1"/>
  </r>
  <r>
    <s v="1.3.2 Ensure permissions on bootloader config are configured"/>
    <x v="0"/>
  </r>
  <r>
    <s v="1.3.3 Ensure authentication required for single user mode"/>
    <x v="0"/>
  </r>
  <r>
    <s v="1.4.1 Ensure address space layout randomization (ASLR) is enabled"/>
    <x v="1"/>
  </r>
  <r>
    <s v="1.4.2 Ensure ptrace_scope is restricted"/>
    <x v="0"/>
  </r>
  <r>
    <s v="1.4.3 Ensure core dump backtraces are disabled"/>
    <x v="0"/>
  </r>
  <r>
    <s v="1.4.4 Ensure core dump storage is disabled"/>
    <x v="0"/>
  </r>
  <r>
    <s v="1.5.1.1 Ensure SELinux is installed"/>
    <x v="0"/>
  </r>
  <r>
    <s v="1.5.1.2 Ensure SELinux is not disabled in bootloader configuration"/>
    <x v="0"/>
  </r>
  <r>
    <s v="1.5.1.3 Ensure SELinux policy is configured"/>
    <x v="0"/>
  </r>
  <r>
    <s v="1.5.1.4 Ensure the SELinux mode is not disabled"/>
    <x v="0"/>
  </r>
  <r>
    <s v="1.5.1.5 Ensure the SELinux mode is enforcing"/>
    <x v="0"/>
  </r>
  <r>
    <s v="1.5.1.6 Ensure no unconfined services exist"/>
    <x v="0"/>
  </r>
  <r>
    <s v="1.5.1.7 Ensure the MCS Translation Service (mcstrans) is not installed"/>
    <x v="0"/>
  </r>
  <r>
    <s v="1.5.1.8 Ensure SETroubleshoot is not installed"/>
    <x v="0"/>
  </r>
  <r>
    <s v="1.6.1 Ensure message of the day is configured properly"/>
    <x v="1"/>
  </r>
  <r>
    <s v="1.6.2 Ensure local login warning banner is configured properly"/>
    <x v="1"/>
  </r>
  <r>
    <s v="1.6.3 Ensure remote login warning banner is configured properly"/>
    <x v="1"/>
  </r>
  <r>
    <s v="1.6.4 Ensure access to /etc/motd is configured"/>
    <x v="0"/>
  </r>
  <r>
    <s v="1.6.5 Ensure access to /etc/issue is configured"/>
    <x v="0"/>
  </r>
  <r>
    <s v="1.6.6 Ensure access to /etc/issue.net is configured"/>
    <x v="0"/>
  </r>
  <r>
    <s v="1.7.1 Ensure GNOME Display Manager is removed"/>
    <x v="0"/>
  </r>
  <r>
    <s v="1.7.10 Ensure XDMCP is not enabled"/>
    <x v="0"/>
  </r>
  <r>
    <s v="1.7.2 Ensure GDM login banner is configured"/>
    <x v="0"/>
  </r>
  <r>
    <s v="1.7.3 Ensure GDM disable-user-list option is enabled"/>
    <x v="0"/>
  </r>
  <r>
    <s v="1.7.4 Ensure GDM screen locks when the user is idle"/>
    <x v="0"/>
  </r>
  <r>
    <s v="1.7.5 Ensure GDM screen locks cannot be overridden"/>
    <x v="0"/>
  </r>
  <r>
    <s v="1.7.6 Ensure GDM automatic mounting of removable media is disabled"/>
    <x v="0"/>
  </r>
  <r>
    <s v="1.7.7 Ensure GDM disabling automatic mounting of removable media is not overridden"/>
    <x v="0"/>
  </r>
  <r>
    <s v="1.7.8 Ensure GDM autorun-never is enabled"/>
    <x v="0"/>
  </r>
  <r>
    <s v="1.7.9 Ensure GDM autorun-never is not overridden"/>
    <x v="0"/>
  </r>
  <r>
    <s v="2.1.1 Ensure time synchronization is in use"/>
    <x v="0"/>
  </r>
  <r>
    <s v="2.1.2 Ensure chrony is configured"/>
    <x v="1"/>
  </r>
  <r>
    <s v="2.1.3 Ensure chrony is not run as the root user"/>
    <x v="3"/>
  </r>
  <r>
    <s v="2.2.1 Ensure autofs services are not in use"/>
    <x v="0"/>
  </r>
  <r>
    <s v="2.2.10 Ensure nis server services are not in use"/>
    <x v="0"/>
  </r>
  <r>
    <s v="2.2.11 Ensure print server services are not in use"/>
    <x v="0"/>
  </r>
  <r>
    <s v="2.2.12 Ensure rpcbind services are not in use"/>
    <x v="0"/>
  </r>
  <r>
    <s v="2.2.13 Ensure rsync services are not in use"/>
    <x v="0"/>
  </r>
  <r>
    <s v="2.2.14 Ensure snmp services are not in use"/>
    <x v="0"/>
  </r>
  <r>
    <s v="2.2.15 Ensure telnet server services are not in use"/>
    <x v="0"/>
  </r>
  <r>
    <s v="2.2.16 Ensure tftp server services are not in use"/>
    <x v="0"/>
  </r>
  <r>
    <s v="2.2.17 Ensure web proxy server services are not in use"/>
    <x v="0"/>
  </r>
  <r>
    <s v="2.2.18 Ensure web server services are not in use"/>
    <x v="0"/>
  </r>
  <r>
    <s v="2.2.19 Ensure xinetd services are not in use"/>
    <x v="0"/>
  </r>
  <r>
    <s v="2.2.2 Ensure avahi daemon services are not in use"/>
    <x v="0"/>
  </r>
  <r>
    <s v="2.2.20 Ensure X window server services are not in use"/>
    <x v="0"/>
  </r>
  <r>
    <s v="2.2.21 Ensure mail transfer agents are configured for local-only mode"/>
    <x v="0"/>
  </r>
  <r>
    <s v="2.2.22 Ensure only approved services are listening on a network interface"/>
    <x v="2"/>
  </r>
  <r>
    <s v="2.2.3 Ensure dhcp server services are not in use"/>
    <x v="0"/>
  </r>
  <r>
    <s v="2.2.4 Ensure dns server services are not in use"/>
    <x v="0"/>
  </r>
  <r>
    <s v="2.2.5 Ensure dnsmasq services are not in use"/>
    <x v="0"/>
  </r>
  <r>
    <s v="2.2.6 Ensure samba file server services are not in use"/>
    <x v="0"/>
  </r>
  <r>
    <s v="2.2.7 Ensure ftp server services are not in use"/>
    <x v="0"/>
  </r>
  <r>
    <s v="2.2.8 Ensure message access server services are not in use"/>
    <x v="0"/>
  </r>
  <r>
    <s v="2.2.9 Ensure network file system services are not in use"/>
    <x v="0"/>
  </r>
  <r>
    <s v="2.3.1 Ensure ftp client is not installed"/>
    <x v="0"/>
  </r>
  <r>
    <s v="2.3.2 Ensure ldap client is not installed"/>
    <x v="0"/>
  </r>
  <r>
    <s v="2.3.3 Ensure nis client is not installed"/>
    <x v="0"/>
  </r>
  <r>
    <s v="2.3.4 Ensure telnet client is not installed"/>
    <x v="0"/>
  </r>
  <r>
    <s v="2.3.5 Ensure tftp client is not installed"/>
    <x v="0"/>
  </r>
  <r>
    <s v="3.1.1 Ensure IPv6 status is identified"/>
    <x v="2"/>
  </r>
  <r>
    <s v="3.1.2 Ensure wireless interfaces are disabled"/>
    <x v="0"/>
  </r>
  <r>
    <s v="3.1.3 Ensure bluetooth services are not in use"/>
    <x v="0"/>
  </r>
  <r>
    <s v="3.2.1 Ensure dccp kernel module is not available"/>
    <x v="0"/>
  </r>
  <r>
    <s v="3.2.2 Ensure tipc kernel module is not available"/>
    <x v="0"/>
  </r>
  <r>
    <s v="3.2.3 Ensure rds kernel module is not available"/>
    <x v="0"/>
  </r>
  <r>
    <s v="3.2.4 Ensure sctp kernel module is not available"/>
    <x v="0"/>
  </r>
  <r>
    <s v="3.3.1 Ensure ip forwarding is disabled"/>
    <x v="1"/>
  </r>
  <r>
    <s v="3.3.10 Ensure tcp syn cookies is enabled"/>
    <x v="1"/>
  </r>
  <r>
    <s v="3.3.11 Ensure ipv6 router advertisements are not accepted"/>
    <x v="0"/>
  </r>
  <r>
    <s v="3.3.2 Ensure packet redirect sending is disabled"/>
    <x v="1"/>
  </r>
  <r>
    <s v="3.3.3 Ensure bogus icmp responses are ignored"/>
    <x v="1"/>
  </r>
  <r>
    <s v="3.3.4 Ensure broadcast icmp requests are ignored"/>
    <x v="1"/>
  </r>
  <r>
    <s v="3.3.5 Ensure icmp redirects are not accepted"/>
    <x v="1"/>
  </r>
  <r>
    <s v="3.3.6 Ensure secure icmp redirects are not accepted"/>
    <x v="1"/>
  </r>
  <r>
    <s v="3.3.7 Ensure reverse path filtering is enabled"/>
    <x v="0"/>
  </r>
  <r>
    <s v="3.3.8 Ensure source routed packets are not accepted"/>
    <x v="0"/>
  </r>
  <r>
    <s v="3.3.9 Ensure suspicious packets are logged"/>
    <x v="0"/>
  </r>
  <r>
    <s v="3.4.1.1 Ensure iptables is installed"/>
    <x v="0"/>
  </r>
  <r>
    <s v="3.4.1.2 Ensure a single firewall configuration utility is in use"/>
    <x v="2"/>
  </r>
  <r>
    <s v="3.4.2.1 Ensure firewalld is installed"/>
    <x v="0"/>
  </r>
  <r>
    <s v="3.4.2.2 Ensure firewalld service enabled and running"/>
    <x v="1"/>
  </r>
  <r>
    <s v="3.4.2.3 Ensure firewalld drops unnecessary services and ports"/>
    <x v="2"/>
  </r>
  <r>
    <s v="3.4.2.4 Ensure network interfaces are assigned to appropriate zone"/>
    <x v="2"/>
  </r>
  <r>
    <s v="3.4.3.1 Ensure nftables is installed"/>
    <x v="0"/>
  </r>
  <r>
    <s v="3.4.3.2 Ensure iptables are flushed with nftables"/>
    <x v="0"/>
  </r>
  <r>
    <s v="3.4.3.3 Ensure an nftables table exists"/>
    <x v="0"/>
  </r>
  <r>
    <s v="3.4.3.4 Ensure nftables base chains exist"/>
    <x v="0"/>
  </r>
  <r>
    <s v="3.4.3.5 Ensure nftables loopback traffic is configured"/>
    <x v="0"/>
  </r>
  <r>
    <s v="3.4.3.6 Ensure nftables outbound and established connections are configured"/>
    <x v="0"/>
  </r>
  <r>
    <s v="3.4.3.7 Ensure nftables default deny firewall policy"/>
    <x v="0"/>
  </r>
  <r>
    <s v="3.4.3.8 Ensure nftables service is enabled and active"/>
    <x v="0"/>
  </r>
  <r>
    <s v="3.4.3.9 Ensure nftables rules are permanent"/>
    <x v="0"/>
  </r>
  <r>
    <s v="3.4.4.1.1 Ensure iptables packages are installed"/>
    <x v="0"/>
  </r>
  <r>
    <s v="3.4.4.2.1 Ensure iptables loopback traffic is configured"/>
    <x v="0"/>
  </r>
  <r>
    <s v="3.4.4.2.2 Ensure iptables outbound and established connections are configured"/>
    <x v="0"/>
  </r>
  <r>
    <s v="3.4.4.2.3 Ensure iptables rules exist for all open ports"/>
    <x v="0"/>
  </r>
  <r>
    <s v="3.4.4.2.4 Ensure iptables default deny firewall policy"/>
    <x v="0"/>
  </r>
  <r>
    <s v="3.4.4.2.5 Ensure iptables rules are saved"/>
    <x v="0"/>
  </r>
  <r>
    <s v="3.4.4.2.6 Ensure iptables service is enabled and active"/>
    <x v="0"/>
  </r>
  <r>
    <s v="3.4.4.3.1 Ensure ip6tables loopback traffic is configured"/>
    <x v="0"/>
  </r>
  <r>
    <s v="3.4.4.3.2 Ensure ip6tables outbound and established connections are configured"/>
    <x v="0"/>
  </r>
  <r>
    <s v="3.4.4.3.3 Ensure ip6tables firewall rules exist for all open ports"/>
    <x v="0"/>
  </r>
  <r>
    <s v="3.4.4.3.4 Ensure ip6tables default deny firewall policy"/>
    <x v="0"/>
  </r>
  <r>
    <s v="3.4.4.3.5 Ensure ip6tables rules are saved"/>
    <x v="0"/>
  </r>
  <r>
    <s v="3.4.4.3.6 Ensure ip6tables is enabled and active"/>
    <x v="0"/>
  </r>
  <r>
    <s v="4.1.1.1 Ensure cron daemon is enabled and active"/>
    <x v="0"/>
  </r>
  <r>
    <s v="4.1.1.2 Ensure permissions on /etc/crontab are configured"/>
    <x v="0"/>
  </r>
  <r>
    <s v="4.1.1.3 Ensure permissions on /etc/cron.hourly are configured"/>
    <x v="0"/>
  </r>
  <r>
    <s v="4.1.1.4 Ensure permissions on /etc/cron.daily are configured"/>
    <x v="0"/>
  </r>
  <r>
    <s v="4.1.1.5 Ensure permissions on /etc/cron.weekly are configured"/>
    <x v="0"/>
  </r>
  <r>
    <s v="4.1.1.6 Ensure permissions on /etc/cron.monthly are configured"/>
    <x v="0"/>
  </r>
  <r>
    <s v="4.1.1.7 Ensure permissions on /etc/cron.d are configured"/>
    <x v="0"/>
  </r>
  <r>
    <s v="4.1.1.8 Ensure crontab is restricted to authorized users"/>
    <x v="0"/>
  </r>
  <r>
    <s v="4.1.2.1 Ensure at is restricted to authorized users"/>
    <x v="0"/>
  </r>
  <r>
    <s v="4.2.1 Ensure permissions on /etc/ssh/sshd_config are configured"/>
    <x v="0"/>
  </r>
  <r>
    <s v="4.2.10 Ensure sshd HostbasedAuthentication is disabled"/>
    <x v="1"/>
  </r>
  <r>
    <s v="4.2.11 Ensure sshd IgnoreRhosts is enabled"/>
    <x v="0"/>
  </r>
  <r>
    <s v="4.2.12 Ensure sshd KexAlgorithms is configured"/>
    <x v="0"/>
  </r>
  <r>
    <s v="4.2.13 Ensure sshd LoginGraceTime is configured"/>
    <x v="1"/>
  </r>
  <r>
    <s v="4.2.14 Ensure sshd LogLevel is configured"/>
    <x v="1"/>
  </r>
  <r>
    <s v="4.2.15 Ensure sshd MACs are configured"/>
    <x v="0"/>
  </r>
  <r>
    <s v="4.2.16 Ensure sshd MaxAuthTries is configured"/>
    <x v="1"/>
  </r>
  <r>
    <s v="4.2.17 Ensure sshd MaxSessions is configured"/>
    <x v="1"/>
  </r>
  <r>
    <s v="4.2.18 Ensure sshd MaxStartups is configured"/>
    <x v="1"/>
  </r>
  <r>
    <s v="4.2.19 Ensure sshd PermitEmptyPasswords is disabled"/>
    <x v="1"/>
  </r>
  <r>
    <s v="4.2.2 Ensure permissions on SSH private host key files are configured"/>
    <x v="0"/>
  </r>
  <r>
    <s v="4.2.20 Ensure sshd PermitRootLogin is disabled"/>
    <x v="1"/>
  </r>
  <r>
    <s v="4.2.21 Ensure sshd PermitUserEnvironment is disabled"/>
    <x v="0"/>
  </r>
  <r>
    <s v="4.2.22 Ensure sshd UsePAM is enabled"/>
    <x v="0"/>
  </r>
  <r>
    <s v="4.2.3 Ensure permissions on SSH public host key files are configured"/>
    <x v="0"/>
  </r>
  <r>
    <s v="4.2.4 Ensure sshd access is configured"/>
    <x v="1"/>
  </r>
  <r>
    <s v="4.2.5 Ensure sshd Banner is configured"/>
    <x v="1"/>
  </r>
  <r>
    <s v="4.2.6 Ensure sshd Ciphers are configured"/>
    <x v="0"/>
  </r>
  <r>
    <s v="4.2.7 Ensure sshd ClientAliveInterval and ClientAliveCountMax are configured"/>
    <x v="1"/>
  </r>
  <r>
    <s v="4.2.8 Ensure sshd DisableForwarding is enabled"/>
    <x v="0"/>
  </r>
  <r>
    <s v="4.2.9 Ensure sshd GSSAPIAuthentication is disabled"/>
    <x v="1"/>
  </r>
  <r>
    <s v="4.3.1 Ensure sudo is installed"/>
    <x v="0"/>
  </r>
  <r>
    <s v="4.3.2 Ensure sudo commands use pty"/>
    <x v="1"/>
  </r>
  <r>
    <s v="4.3.3 Ensure sudo log file exists"/>
    <x v="3"/>
  </r>
  <r>
    <s v="4.3.4 Ensure users must provide password for escalation"/>
    <x v="3"/>
  </r>
  <r>
    <s v="4.3.5 Ensure re-authentication for privilege escalation is not disabled globally"/>
    <x v="3"/>
  </r>
  <r>
    <s v="4.3.6 Ensure sudo authentication timeout is configured correctly"/>
    <x v="0"/>
  </r>
  <r>
    <s v="4.3.7 Ensure access to the su command is restricted"/>
    <x v="3"/>
  </r>
  <r>
    <s v="4.4.1.1 Ensure latest version of pam is installed"/>
    <x v="0"/>
  </r>
  <r>
    <s v="4.4.1.2 Ensure libpwquality is installed"/>
    <x v="0"/>
  </r>
  <r>
    <s v="4.4.2.1.1 Ensure pam_faillock module is enabled"/>
    <x v="1"/>
  </r>
  <r>
    <s v="4.4.2.1.2 Ensure password failed attempts lockout is configured"/>
    <x v="1"/>
  </r>
  <r>
    <s v="4.4.2.1.3 Ensure password unlock time is configured"/>
    <x v="1"/>
  </r>
  <r>
    <s v="4.4.2.1.4 Ensure password failed attempts lockout includes root account"/>
    <x v="1"/>
  </r>
  <r>
    <s v="4.4.2.2.1 Ensure pam_pwquality module is enabled"/>
    <x v="1"/>
  </r>
  <r>
    <s v="4.4.2.2.2 Ensure password number of changed characters is configured"/>
    <x v="1"/>
  </r>
  <r>
    <s v="4.4.2.2.3 Ensure password length is configured"/>
    <x v="1"/>
  </r>
  <r>
    <s v="4.4.2.2.4 Ensure password complexity is configured"/>
    <x v="1"/>
  </r>
  <r>
    <s v="4.4.2.2.5 Ensure password same consecutive characters is configured"/>
    <x v="1"/>
  </r>
  <r>
    <s v="4.4.2.2.6 Ensure password maximum sequential characters is configured"/>
    <x v="1"/>
  </r>
  <r>
    <s v="4.4.2.2.7 Ensure password dictionary check is enabled"/>
    <x v="1"/>
  </r>
  <r>
    <s v="4.4.2.3.1 Ensure pam_pwhistory module is enabled"/>
    <x v="1"/>
  </r>
  <r>
    <s v="4.4.2.3.2 Ensure password history remember is configured"/>
    <x v="1"/>
  </r>
  <r>
    <s v="4.4.2.3.3 Ensure password history is enforced for the root user"/>
    <x v="1"/>
  </r>
  <r>
    <s v="4.4.2.3.4 Ensure pam_pwhistory includes use_authtok"/>
    <x v="1"/>
  </r>
  <r>
    <s v="4.4.2.4.1 Ensure pam_unix does not include nullok"/>
    <x v="1"/>
  </r>
  <r>
    <s v="4.4.2.4.2 Ensure pam_unix does not include remember"/>
    <x v="1"/>
  </r>
  <r>
    <s v="4.4.2.4.3 Ensure pam_unix includes a strong password hashing algorithm"/>
    <x v="1"/>
  </r>
  <r>
    <s v="4.4.2.4.4 Ensure pam_unix includes use_authtok"/>
    <x v="1"/>
  </r>
  <r>
    <s v="4.5.1.1 Ensure strong password hashing algorithm is configured"/>
    <x v="0"/>
  </r>
  <r>
    <s v="4.5.1.2 Ensure password expiration is 365 days or less"/>
    <x v="1"/>
  </r>
  <r>
    <s v="4.5.1.3 Ensure password expiration warning days is 7 or more"/>
    <x v="1"/>
  </r>
  <r>
    <s v="4.5.1.4 Ensure inactive password lock is 30 days or less"/>
    <x v="1"/>
  </r>
  <r>
    <s v="4.5.1.5 Ensure all users last password change date is in the past"/>
    <x v="0"/>
  </r>
  <r>
    <s v="4.5.2.1 Ensure default group for the root account is GID 0"/>
    <x v="0"/>
  </r>
  <r>
    <s v="4.5.2.2 Ensure root user umask is configured"/>
    <x v="1"/>
  </r>
  <r>
    <s v="4.5.2.3 Ensure system accounts are secured"/>
    <x v="1"/>
  </r>
  <r>
    <s v="4.5.2.4 Ensure root password is set"/>
    <x v="1"/>
  </r>
  <r>
    <s v="4.5.3.1 Ensure nologin is not listed in /etc/shells"/>
    <x v="0"/>
  </r>
  <r>
    <s v="4.5.3.2 Ensure default user shell timeout is configured"/>
    <x v="0"/>
  </r>
  <r>
    <s v="4.5.3.3 Ensure default user umask is configured"/>
    <x v="0"/>
  </r>
  <r>
    <s v="5.1.1.1 Ensure rsyslog is installed"/>
    <x v="0"/>
  </r>
  <r>
    <s v="5.1.1.2 Ensure rsyslog service is enabled"/>
    <x v="0"/>
  </r>
  <r>
    <s v="5.1.1.3 Ensure journald is configured to send logs to rsyslog"/>
    <x v="1"/>
  </r>
  <r>
    <s v="5.1.1.4 Ensure rsyslog default file permissions are configured"/>
    <x v="0"/>
  </r>
  <r>
    <s v="5.1.1.5 Ensure logging is configured"/>
    <x v="1"/>
  </r>
  <r>
    <s v="5.1.1.6 Ensure rsyslog is configured to send logs to a remote log host"/>
    <x v="0"/>
  </r>
  <r>
    <s v="5.1.1.7 Ensure rsyslog is not configured to receive logs from a remote client"/>
    <x v="0"/>
  </r>
  <r>
    <s v="5.1.2.1.1 Ensure systemd-journal-remote is installed"/>
    <x v="0"/>
  </r>
  <r>
    <s v="5.1.2.1.2 Ensure systemd-journal-remote is configured"/>
    <x v="0"/>
  </r>
  <r>
    <s v="5.1.2.1.3 Ensure systemd-journal-remote is enabled"/>
    <x v="0"/>
  </r>
  <r>
    <s v="5.1.2.1.4 Ensure journald is not configured to receive logs from a remote client"/>
    <x v="0"/>
  </r>
  <r>
    <s v="5.1.2.2 Ensure journald service is enabled"/>
    <x v="0"/>
  </r>
  <r>
    <s v="5.1.2.3 Ensure journald is configured to compress large log files"/>
    <x v="0"/>
  </r>
  <r>
    <s v="5.1.2.4 Ensure journald is configured to write logfiles to persistent disk"/>
    <x v="0"/>
  </r>
  <r>
    <s v="5.1.2.5 Ensure journald is not configured to send logs to rsyslog"/>
    <x v="0"/>
  </r>
  <r>
    <s v="5.1.2.6 Ensure journald log rotation is configured per site policy"/>
    <x v="0"/>
  </r>
  <r>
    <s v="5.1.3 Ensure logrotate is configured"/>
    <x v="2"/>
  </r>
  <r>
    <s v="5.1.4 Ensure all logfiles have appropriate access configured"/>
    <x v="1"/>
  </r>
  <r>
    <s v="5.2.1.1 Ensure audit is installed"/>
    <x v="0"/>
  </r>
  <r>
    <s v="5.2.1.2 Ensure auditing for processes that start prior to auditd is enabled"/>
    <x v="1"/>
  </r>
  <r>
    <s v="5.2.1.3 Ensure audit_backlog_limit is sufficient"/>
    <x v="1"/>
  </r>
  <r>
    <s v="5.2.1.4 Ensure auditd service is enabled"/>
    <x v="0"/>
  </r>
  <r>
    <s v="5.2.2.1 Ensure audit log storage size is configured"/>
    <x v="1"/>
  </r>
  <r>
    <s v="5.2.2.2 Ensure audit logs are not automatically deleted"/>
    <x v="1"/>
  </r>
  <r>
    <s v="5.2.2.3 Ensure system is disabled when audit logs are full"/>
    <x v="1"/>
  </r>
  <r>
    <s v="5.2.2.4 Ensure system warns when audit logs are low on space"/>
    <x v="1"/>
  </r>
  <r>
    <s v="5.2.3.1 Ensure changes to system administration scope (sudoers) is collected"/>
    <x v="1"/>
  </r>
  <r>
    <s v="5.2.3.10 Ensure successful file system mounts are collected"/>
    <x v="1"/>
  </r>
  <r>
    <s v="5.2.3.11 Ensure session initiation information is collected"/>
    <x v="1"/>
  </r>
  <r>
    <s v="5.2.3.12 Ensure login and logout events are collected"/>
    <x v="1"/>
  </r>
  <r>
    <s v="5.2.3.13 Ensure file deletion events by users are collected"/>
    <x v="1"/>
  </r>
  <r>
    <s v="5.2.3.14 Ensure events that modify the system's Mandatory Access Controls are collected"/>
    <x v="1"/>
  </r>
  <r>
    <s v="5.2.3.15 Ensure successful and unsuccessful attempts to use the chcon command are recorded"/>
    <x v="1"/>
  </r>
  <r>
    <s v="5.2.3.16 Ensure successful and unsuccessful attempts to use the setfacl command are recorded"/>
    <x v="1"/>
  </r>
  <r>
    <s v="5.2.3.17 Ensure successful and unsuccessful attempts to use the chacl command are recorded"/>
    <x v="1"/>
  </r>
  <r>
    <s v="5.2.3.18 Ensure successful and unsuccessful attempts to use the usermod command are recorded"/>
    <x v="1"/>
  </r>
  <r>
    <s v="5.2.3.19 Ensure kernel module loading unloading and modification is collected"/>
    <x v="1"/>
  </r>
  <r>
    <s v="5.2.3.2 Ensure actions as another user are always logged"/>
    <x v="1"/>
  </r>
  <r>
    <s v="5.2.3.20 Ensure the audit configuration is immutable"/>
    <x v="1"/>
  </r>
  <r>
    <s v="5.2.3.21 Ensure the running and on disk configuration is the same"/>
    <x v="1"/>
  </r>
  <r>
    <s v="5.2.3.3 Ensure events that modify the sudo log file are collected"/>
    <x v="1"/>
  </r>
  <r>
    <s v="5.2.3.4 Ensure events that modify date and time information are collected"/>
    <x v="1"/>
  </r>
  <r>
    <s v="5.2.3.5 Ensure events that modify the system's network environment are collected"/>
    <x v="1"/>
  </r>
  <r>
    <s v="5.2.3.6 Ensure use of privileged commands are collected"/>
    <x v="1"/>
  </r>
  <r>
    <s v="5.2.3.7 Ensure unsuccessful file access attempts are collected"/>
    <x v="1"/>
  </r>
  <r>
    <s v="5.2.3.8 Ensure events that modify user/group information are collected"/>
    <x v="1"/>
  </r>
  <r>
    <s v="5.2.3.9 Ensure discretionary access control permission modification events are collected"/>
    <x v="1"/>
  </r>
  <r>
    <s v="5.2.4.1 Ensure the audit log directory is 0750 or more restrictive"/>
    <x v="0"/>
  </r>
  <r>
    <s v="5.2.4.10 Ensure audit tools belong to group root"/>
    <x v="0"/>
  </r>
  <r>
    <s v="5.2.4.2 Ensure audit log files are mode 0640 or less permissive"/>
    <x v="1"/>
  </r>
  <r>
    <s v="5.2.4.3 Ensure only authorized users own audit log files"/>
    <x v="1"/>
  </r>
  <r>
    <s v="5.2.4.4 Ensure only authorized groups are assigned ownership of audit log files"/>
    <x v="1"/>
  </r>
  <r>
    <s v="5.2.4.5 Ensure audit configuration files are 640 or more restrictive"/>
    <x v="0"/>
  </r>
  <r>
    <s v="5.2.4.6 Ensure audit configuration files are owned by root"/>
    <x v="0"/>
  </r>
  <r>
    <s v="5.2.4.7 Ensure audit configuration files belong to group root"/>
    <x v="0"/>
  </r>
  <r>
    <s v="5.2.4.8 Ensure audit tools are 755 or more restrictive"/>
    <x v="0"/>
  </r>
  <r>
    <s v="5.2.4.9 Ensure audit tools are owned by root"/>
    <x v="0"/>
  </r>
  <r>
    <s v="5.3.1 Ensure AIDE is installed"/>
    <x v="1"/>
  </r>
  <r>
    <s v="5.3.2 Ensure filesystem integrity is regularly checked"/>
    <x v="1"/>
  </r>
  <r>
    <s v="6.1.1 Ensure permissions on /etc/passwd are configured"/>
    <x v="0"/>
  </r>
  <r>
    <s v="6.1.10 Ensure permissions on /etc/security/opasswd are configured"/>
    <x v="0"/>
  </r>
  <r>
    <s v="6.1.11 Ensure world writable files and directories are secured"/>
    <x v="0"/>
  </r>
  <r>
    <s v="6.1.12 Ensure no unowned or ungrouped files or directories exist"/>
    <x v="0"/>
  </r>
  <r>
    <s v="6.1.13 Ensure SUID and SGID files are reviewed"/>
    <x v="2"/>
  </r>
  <r>
    <s v="6.1.14 Audit system file permissions"/>
    <x v="2"/>
  </r>
  <r>
    <s v="6.1.2 Ensure permissions on /etc/passwd- are configured"/>
    <x v="0"/>
  </r>
  <r>
    <s v="6.1.3 Ensure permissions on /etc/group are configured"/>
    <x v="0"/>
  </r>
  <r>
    <s v="6.1.4 Ensure permissions on /etc/group- are configured"/>
    <x v="0"/>
  </r>
  <r>
    <s v="6.1.5 Ensure permissions on /etc/shadow are configured"/>
    <x v="0"/>
  </r>
  <r>
    <s v="6.1.6 Ensure permissions on /etc/shadow- are configured"/>
    <x v="0"/>
  </r>
  <r>
    <s v="6.1.7 Ensure permissions on /etc/gshadow are configured"/>
    <x v="0"/>
  </r>
  <r>
    <s v="6.1.8 Ensure permissions on /etc/gshadow- are configured"/>
    <x v="0"/>
  </r>
  <r>
    <s v="6.1.9 Ensure permissions on /etc/shells are configured"/>
    <x v="0"/>
  </r>
  <r>
    <s v="6.2.1 Ensure accounts in /etc/passwd use shadowed passwords"/>
    <x v="0"/>
  </r>
  <r>
    <s v="6.2.10 Ensure local interactive user home directories are configured"/>
    <x v="0"/>
  </r>
  <r>
    <s v="6.2.11 Ensure local interactive user dot files access is configured"/>
    <x v="0"/>
  </r>
  <r>
    <s v="6.2.2 Ensure /etc/shadow password fields are not empty"/>
    <x v="0"/>
  </r>
  <r>
    <s v="6.2.3 Ensure all groups in /etc/passwd exist in /etc/group"/>
    <x v="0"/>
  </r>
  <r>
    <s v="6.2.4 Ensure no duplicate UIDs exist"/>
    <x v="0"/>
  </r>
  <r>
    <s v="6.2.5 Ensure no duplicate GIDs exist"/>
    <x v="0"/>
  </r>
  <r>
    <s v="6.2.6 Ensure no duplicate user names exist"/>
    <x v="0"/>
  </r>
  <r>
    <s v="6.2.7 Ensure no duplicate group names exist"/>
    <x v="0"/>
  </r>
  <r>
    <s v="6.2.8 Ensure root path integrity"/>
    <x v="1"/>
  </r>
  <r>
    <s v="6.2.9 Ensure root is the only UID 0 account"/>
    <x v="0"/>
  </r>
  <r>
    <s v="CIS_Oracle_Linux_7_v4.0.0_L1_Server.audit from CIS Oracle Linux 7 Benchmark v4.0.0"/>
    <x v="0"/>
  </r>
  <r>
    <s v="CIS_Oracle_Linux_7_v4.0.0_L2_Server.audit from CIS Oracle Linux 7 Benchmark v4.0.0"/>
    <x v="0"/>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65856-0C7C-458A-9704-E00E72F2E65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showAll="0"/>
    <pivotField axis="axisRow" dataField="1" showAll="0">
      <items count="6">
        <item x="3"/>
        <item x="1"/>
        <item x="0"/>
        <item x="2"/>
        <item h="1" x="4"/>
        <item t="default"/>
      </items>
    </pivotField>
  </pivotFields>
  <rowFields count="1">
    <field x="1"/>
  </rowFields>
  <rowItems count="5">
    <i>
      <x/>
    </i>
    <i>
      <x v="1"/>
    </i>
    <i>
      <x v="2"/>
    </i>
    <i>
      <x v="3"/>
    </i>
    <i t="grand">
      <x/>
    </i>
  </rowItems>
  <colItems count="1">
    <i/>
  </colItems>
  <dataFields count="1">
    <dataField name="Count of Resul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17" Type="http://schemas.openxmlformats.org/officeDocument/2006/relationships/hyperlink" Target="https://workbench.cisecurity.org/benchmarks/15965" TargetMode="External"/><Relationship Id="rId299" Type="http://schemas.openxmlformats.org/officeDocument/2006/relationships/hyperlink" Target="https://workbench.cisecurity.org/benchmarks/15965" TargetMode="External"/><Relationship Id="rId21" Type="http://schemas.openxmlformats.org/officeDocument/2006/relationships/hyperlink" Target="https://workbench.cisecurity.org/benchmarks/15965" TargetMode="External"/><Relationship Id="rId63" Type="http://schemas.openxmlformats.org/officeDocument/2006/relationships/hyperlink" Target="https://workbench.cisecurity.org/benchmarks/15965" TargetMode="External"/><Relationship Id="rId159" Type="http://schemas.openxmlformats.org/officeDocument/2006/relationships/hyperlink" Target="https://workbench.cisecurity.org/benchmarks/15965" TargetMode="External"/><Relationship Id="rId170" Type="http://schemas.openxmlformats.org/officeDocument/2006/relationships/hyperlink" Target="https://workbench.cisecurity.org/benchmarks/15965" TargetMode="External"/><Relationship Id="rId226" Type="http://schemas.openxmlformats.org/officeDocument/2006/relationships/hyperlink" Target="https://workbench.cisecurity.org/benchmarks/15965" TargetMode="External"/><Relationship Id="rId268" Type="http://schemas.openxmlformats.org/officeDocument/2006/relationships/hyperlink" Target="https://workbench.cisecurity.org/benchmarks/15965" TargetMode="External"/><Relationship Id="rId32" Type="http://schemas.openxmlformats.org/officeDocument/2006/relationships/hyperlink" Target="https://workbench.cisecurity.org/benchmarks/15965" TargetMode="External"/><Relationship Id="rId74" Type="http://schemas.openxmlformats.org/officeDocument/2006/relationships/hyperlink" Target="https://workbench.cisecurity.org/benchmarks/15965" TargetMode="External"/><Relationship Id="rId128" Type="http://schemas.openxmlformats.org/officeDocument/2006/relationships/hyperlink" Target="https://workbench.cisecurity.org/benchmarks/15965" TargetMode="External"/><Relationship Id="rId5" Type="http://schemas.openxmlformats.org/officeDocument/2006/relationships/hyperlink" Target="https://workbench.cisecurity.org/benchmarks/15965" TargetMode="External"/><Relationship Id="rId181" Type="http://schemas.openxmlformats.org/officeDocument/2006/relationships/hyperlink" Target="https://workbench.cisecurity.org/benchmarks/15965" TargetMode="External"/><Relationship Id="rId237" Type="http://schemas.openxmlformats.org/officeDocument/2006/relationships/hyperlink" Target="https://workbench.cisecurity.org/benchmarks/15965" TargetMode="External"/><Relationship Id="rId279" Type="http://schemas.openxmlformats.org/officeDocument/2006/relationships/hyperlink" Target="https://workbench.cisecurity.org/benchmarks/15965" TargetMode="External"/><Relationship Id="rId43" Type="http://schemas.openxmlformats.org/officeDocument/2006/relationships/hyperlink" Target="https://workbench.cisecurity.org/benchmarks/15965" TargetMode="External"/><Relationship Id="rId139" Type="http://schemas.openxmlformats.org/officeDocument/2006/relationships/hyperlink" Target="https://workbench.cisecurity.org/benchmarks/15965" TargetMode="External"/><Relationship Id="rId290" Type="http://schemas.openxmlformats.org/officeDocument/2006/relationships/hyperlink" Target="https://workbench.cisecurity.org/benchmarks/15965" TargetMode="External"/><Relationship Id="rId85" Type="http://schemas.openxmlformats.org/officeDocument/2006/relationships/hyperlink" Target="https://workbench.cisecurity.org/benchmarks/15965" TargetMode="External"/><Relationship Id="rId150" Type="http://schemas.openxmlformats.org/officeDocument/2006/relationships/hyperlink" Target="https://workbench.cisecurity.org/benchmarks/15965" TargetMode="External"/><Relationship Id="rId192" Type="http://schemas.openxmlformats.org/officeDocument/2006/relationships/hyperlink" Target="https://workbench.cisecurity.org/benchmarks/15965" TargetMode="External"/><Relationship Id="rId206" Type="http://schemas.openxmlformats.org/officeDocument/2006/relationships/hyperlink" Target="https://workbench.cisecurity.org/benchmarks/15965" TargetMode="External"/><Relationship Id="rId248" Type="http://schemas.openxmlformats.org/officeDocument/2006/relationships/hyperlink" Target="https://workbench.cisecurity.org/benchmarks/15965" TargetMode="External"/><Relationship Id="rId12" Type="http://schemas.openxmlformats.org/officeDocument/2006/relationships/hyperlink" Target="https://workbench.cisecurity.org/benchmarks/15965" TargetMode="External"/><Relationship Id="rId108" Type="http://schemas.openxmlformats.org/officeDocument/2006/relationships/hyperlink" Target="https://workbench.cisecurity.org/benchmarks/15965" TargetMode="External"/><Relationship Id="rId54" Type="http://schemas.openxmlformats.org/officeDocument/2006/relationships/hyperlink" Target="https://workbench.cisecurity.org/benchmarks/15965" TargetMode="External"/><Relationship Id="rId96" Type="http://schemas.openxmlformats.org/officeDocument/2006/relationships/hyperlink" Target="https://workbench.cisecurity.org/benchmarks/15965" TargetMode="External"/><Relationship Id="rId161" Type="http://schemas.openxmlformats.org/officeDocument/2006/relationships/hyperlink" Target="https://workbench.cisecurity.org/benchmarks/15965" TargetMode="External"/><Relationship Id="rId217" Type="http://schemas.openxmlformats.org/officeDocument/2006/relationships/hyperlink" Target="https://workbench.cisecurity.org/benchmarks/15965" TargetMode="External"/><Relationship Id="rId6" Type="http://schemas.openxmlformats.org/officeDocument/2006/relationships/hyperlink" Target="https://workbench.cisecurity.org/benchmarks/15965" TargetMode="External"/><Relationship Id="rId238" Type="http://schemas.openxmlformats.org/officeDocument/2006/relationships/hyperlink" Target="https://workbench.cisecurity.org/benchmarks/15965" TargetMode="External"/><Relationship Id="rId259" Type="http://schemas.openxmlformats.org/officeDocument/2006/relationships/hyperlink" Target="https://workbench.cisecurity.org/benchmarks/15965" TargetMode="External"/><Relationship Id="rId23" Type="http://schemas.openxmlformats.org/officeDocument/2006/relationships/hyperlink" Target="https://workbench.cisecurity.org/benchmarks/15965" TargetMode="External"/><Relationship Id="rId119" Type="http://schemas.openxmlformats.org/officeDocument/2006/relationships/hyperlink" Target="https://workbench.cisecurity.org/benchmarks/15965" TargetMode="External"/><Relationship Id="rId270" Type="http://schemas.openxmlformats.org/officeDocument/2006/relationships/hyperlink" Target="https://workbench.cisecurity.org/benchmarks/15965" TargetMode="External"/><Relationship Id="rId291" Type="http://schemas.openxmlformats.org/officeDocument/2006/relationships/hyperlink" Target="https://workbench.cisecurity.org/benchmarks/15965" TargetMode="External"/><Relationship Id="rId44" Type="http://schemas.openxmlformats.org/officeDocument/2006/relationships/hyperlink" Target="https://workbench.cisecurity.org/benchmarks/15965" TargetMode="External"/><Relationship Id="rId65" Type="http://schemas.openxmlformats.org/officeDocument/2006/relationships/hyperlink" Target="https://workbench.cisecurity.org/benchmarks/15965" TargetMode="External"/><Relationship Id="rId86" Type="http://schemas.openxmlformats.org/officeDocument/2006/relationships/hyperlink" Target="https://workbench.cisecurity.org/benchmarks/15965" TargetMode="External"/><Relationship Id="rId130" Type="http://schemas.openxmlformats.org/officeDocument/2006/relationships/hyperlink" Target="https://workbench.cisecurity.org/benchmarks/15965" TargetMode="External"/><Relationship Id="rId151" Type="http://schemas.openxmlformats.org/officeDocument/2006/relationships/hyperlink" Target="https://workbench.cisecurity.org/benchmarks/15965" TargetMode="External"/><Relationship Id="rId172" Type="http://schemas.openxmlformats.org/officeDocument/2006/relationships/hyperlink" Target="https://workbench.cisecurity.org/benchmarks/15965" TargetMode="External"/><Relationship Id="rId193" Type="http://schemas.openxmlformats.org/officeDocument/2006/relationships/hyperlink" Target="https://workbench.cisecurity.org/benchmarks/15965" TargetMode="External"/><Relationship Id="rId207" Type="http://schemas.openxmlformats.org/officeDocument/2006/relationships/hyperlink" Target="https://workbench.cisecurity.org/benchmarks/15965" TargetMode="External"/><Relationship Id="rId228" Type="http://schemas.openxmlformats.org/officeDocument/2006/relationships/hyperlink" Target="https://workbench.cisecurity.org/benchmarks/15965" TargetMode="External"/><Relationship Id="rId249" Type="http://schemas.openxmlformats.org/officeDocument/2006/relationships/hyperlink" Target="https://workbench.cisecurity.org/benchmarks/15965" TargetMode="External"/><Relationship Id="rId13" Type="http://schemas.openxmlformats.org/officeDocument/2006/relationships/hyperlink" Target="https://workbench.cisecurity.org/benchmarks/15965" TargetMode="External"/><Relationship Id="rId109" Type="http://schemas.openxmlformats.org/officeDocument/2006/relationships/hyperlink" Target="https://workbench.cisecurity.org/benchmarks/15965" TargetMode="External"/><Relationship Id="rId260" Type="http://schemas.openxmlformats.org/officeDocument/2006/relationships/hyperlink" Target="https://workbench.cisecurity.org/benchmarks/15965" TargetMode="External"/><Relationship Id="rId281" Type="http://schemas.openxmlformats.org/officeDocument/2006/relationships/hyperlink" Target="https://workbench.cisecurity.org/benchmarks/15965" TargetMode="External"/><Relationship Id="rId34" Type="http://schemas.openxmlformats.org/officeDocument/2006/relationships/hyperlink" Target="https://workbench.cisecurity.org/benchmarks/15965" TargetMode="External"/><Relationship Id="rId55" Type="http://schemas.openxmlformats.org/officeDocument/2006/relationships/hyperlink" Target="https://workbench.cisecurity.org/benchmarks/15965" TargetMode="External"/><Relationship Id="rId76" Type="http://schemas.openxmlformats.org/officeDocument/2006/relationships/hyperlink" Target="https://workbench.cisecurity.org/benchmarks/15965" TargetMode="External"/><Relationship Id="rId97" Type="http://schemas.openxmlformats.org/officeDocument/2006/relationships/hyperlink" Target="https://workbench.cisecurity.org/benchmarks/15965" TargetMode="External"/><Relationship Id="rId120" Type="http://schemas.openxmlformats.org/officeDocument/2006/relationships/hyperlink" Target="https://workbench.cisecurity.org/benchmarks/15965" TargetMode="External"/><Relationship Id="rId141" Type="http://schemas.openxmlformats.org/officeDocument/2006/relationships/hyperlink" Target="https://workbench.cisecurity.org/benchmarks/15965" TargetMode="External"/><Relationship Id="rId7" Type="http://schemas.openxmlformats.org/officeDocument/2006/relationships/hyperlink" Target="https://workbench.cisecurity.org/benchmarks/15965" TargetMode="External"/><Relationship Id="rId162" Type="http://schemas.openxmlformats.org/officeDocument/2006/relationships/hyperlink" Target="https://workbench.cisecurity.org/benchmarks/15965" TargetMode="External"/><Relationship Id="rId183" Type="http://schemas.openxmlformats.org/officeDocument/2006/relationships/hyperlink" Target="https://workbench.cisecurity.org/benchmarks/15965" TargetMode="External"/><Relationship Id="rId218" Type="http://schemas.openxmlformats.org/officeDocument/2006/relationships/hyperlink" Target="https://workbench.cisecurity.org/benchmarks/15965" TargetMode="External"/><Relationship Id="rId239" Type="http://schemas.openxmlformats.org/officeDocument/2006/relationships/hyperlink" Target="https://workbench.cisecurity.org/benchmarks/15965" TargetMode="External"/><Relationship Id="rId250" Type="http://schemas.openxmlformats.org/officeDocument/2006/relationships/hyperlink" Target="https://workbench.cisecurity.org/benchmarks/15965" TargetMode="External"/><Relationship Id="rId271" Type="http://schemas.openxmlformats.org/officeDocument/2006/relationships/hyperlink" Target="https://workbench.cisecurity.org/benchmarks/15965" TargetMode="External"/><Relationship Id="rId292" Type="http://schemas.openxmlformats.org/officeDocument/2006/relationships/hyperlink" Target="https://workbench.cisecurity.org/benchmarks/15965" TargetMode="External"/><Relationship Id="rId24" Type="http://schemas.openxmlformats.org/officeDocument/2006/relationships/hyperlink" Target="https://workbench.cisecurity.org/benchmarks/15965" TargetMode="External"/><Relationship Id="rId45" Type="http://schemas.openxmlformats.org/officeDocument/2006/relationships/hyperlink" Target="https://workbench.cisecurity.org/benchmarks/15965" TargetMode="External"/><Relationship Id="rId66" Type="http://schemas.openxmlformats.org/officeDocument/2006/relationships/hyperlink" Target="https://workbench.cisecurity.org/benchmarks/15965" TargetMode="External"/><Relationship Id="rId87" Type="http://schemas.openxmlformats.org/officeDocument/2006/relationships/hyperlink" Target="https://workbench.cisecurity.org/benchmarks/15965" TargetMode="External"/><Relationship Id="rId110" Type="http://schemas.openxmlformats.org/officeDocument/2006/relationships/hyperlink" Target="https://workbench.cisecurity.org/benchmarks/15965" TargetMode="External"/><Relationship Id="rId131" Type="http://schemas.openxmlformats.org/officeDocument/2006/relationships/hyperlink" Target="https://workbench.cisecurity.org/benchmarks/15965" TargetMode="External"/><Relationship Id="rId152" Type="http://schemas.openxmlformats.org/officeDocument/2006/relationships/hyperlink" Target="https://workbench.cisecurity.org/benchmarks/15965" TargetMode="External"/><Relationship Id="rId173" Type="http://schemas.openxmlformats.org/officeDocument/2006/relationships/hyperlink" Target="https://workbench.cisecurity.org/benchmarks/15965" TargetMode="External"/><Relationship Id="rId194" Type="http://schemas.openxmlformats.org/officeDocument/2006/relationships/hyperlink" Target="https://workbench.cisecurity.org/benchmarks/15965" TargetMode="External"/><Relationship Id="rId208" Type="http://schemas.openxmlformats.org/officeDocument/2006/relationships/hyperlink" Target="https://workbench.cisecurity.org/benchmarks/15965" TargetMode="External"/><Relationship Id="rId229" Type="http://schemas.openxmlformats.org/officeDocument/2006/relationships/hyperlink" Target="https://workbench.cisecurity.org/benchmarks/15965" TargetMode="External"/><Relationship Id="rId240" Type="http://schemas.openxmlformats.org/officeDocument/2006/relationships/hyperlink" Target="https://workbench.cisecurity.org/benchmarks/15965" TargetMode="External"/><Relationship Id="rId261" Type="http://schemas.openxmlformats.org/officeDocument/2006/relationships/hyperlink" Target="https://workbench.cisecurity.org/benchmarks/15965" TargetMode="External"/><Relationship Id="rId14" Type="http://schemas.openxmlformats.org/officeDocument/2006/relationships/hyperlink" Target="https://workbench.cisecurity.org/benchmarks/15965" TargetMode="External"/><Relationship Id="rId35" Type="http://schemas.openxmlformats.org/officeDocument/2006/relationships/hyperlink" Target="https://workbench.cisecurity.org/benchmarks/15965" TargetMode="External"/><Relationship Id="rId56" Type="http://schemas.openxmlformats.org/officeDocument/2006/relationships/hyperlink" Target="https://workbench.cisecurity.org/benchmarks/15965" TargetMode="External"/><Relationship Id="rId77" Type="http://schemas.openxmlformats.org/officeDocument/2006/relationships/hyperlink" Target="https://workbench.cisecurity.org/benchmarks/15965" TargetMode="External"/><Relationship Id="rId100" Type="http://schemas.openxmlformats.org/officeDocument/2006/relationships/hyperlink" Target="https://workbench.cisecurity.org/benchmarks/15965" TargetMode="External"/><Relationship Id="rId282" Type="http://schemas.openxmlformats.org/officeDocument/2006/relationships/hyperlink" Target="https://workbench.cisecurity.org/benchmarks/15965" TargetMode="External"/><Relationship Id="rId8" Type="http://schemas.openxmlformats.org/officeDocument/2006/relationships/hyperlink" Target="https://workbench.cisecurity.org/benchmarks/15965" TargetMode="External"/><Relationship Id="rId98" Type="http://schemas.openxmlformats.org/officeDocument/2006/relationships/hyperlink" Target="https://workbench.cisecurity.org/benchmarks/15965" TargetMode="External"/><Relationship Id="rId121" Type="http://schemas.openxmlformats.org/officeDocument/2006/relationships/hyperlink" Target="https://workbench.cisecurity.org/benchmarks/15965" TargetMode="External"/><Relationship Id="rId142" Type="http://schemas.openxmlformats.org/officeDocument/2006/relationships/hyperlink" Target="https://workbench.cisecurity.org/benchmarks/15965" TargetMode="External"/><Relationship Id="rId163" Type="http://schemas.openxmlformats.org/officeDocument/2006/relationships/hyperlink" Target="https://workbench.cisecurity.org/benchmarks/15965" TargetMode="External"/><Relationship Id="rId184" Type="http://schemas.openxmlformats.org/officeDocument/2006/relationships/hyperlink" Target="https://workbench.cisecurity.org/benchmarks/15965" TargetMode="External"/><Relationship Id="rId219" Type="http://schemas.openxmlformats.org/officeDocument/2006/relationships/hyperlink" Target="https://workbench.cisecurity.org/benchmarks/15965" TargetMode="External"/><Relationship Id="rId230" Type="http://schemas.openxmlformats.org/officeDocument/2006/relationships/hyperlink" Target="https://workbench.cisecurity.org/benchmarks/15965" TargetMode="External"/><Relationship Id="rId251" Type="http://schemas.openxmlformats.org/officeDocument/2006/relationships/hyperlink" Target="https://workbench.cisecurity.org/benchmarks/15965" TargetMode="External"/><Relationship Id="rId25" Type="http://schemas.openxmlformats.org/officeDocument/2006/relationships/hyperlink" Target="https://workbench.cisecurity.org/benchmarks/15965" TargetMode="External"/><Relationship Id="rId46" Type="http://schemas.openxmlformats.org/officeDocument/2006/relationships/hyperlink" Target="https://workbench.cisecurity.org/benchmarks/15965" TargetMode="External"/><Relationship Id="rId67" Type="http://schemas.openxmlformats.org/officeDocument/2006/relationships/hyperlink" Target="https://workbench.cisecurity.org/benchmarks/15965" TargetMode="External"/><Relationship Id="rId272" Type="http://schemas.openxmlformats.org/officeDocument/2006/relationships/hyperlink" Target="https://workbench.cisecurity.org/benchmarks/15965" TargetMode="External"/><Relationship Id="rId293" Type="http://schemas.openxmlformats.org/officeDocument/2006/relationships/hyperlink" Target="https://workbench.cisecurity.org/benchmarks/15965" TargetMode="External"/><Relationship Id="rId88" Type="http://schemas.openxmlformats.org/officeDocument/2006/relationships/hyperlink" Target="https://workbench.cisecurity.org/benchmarks/15965" TargetMode="External"/><Relationship Id="rId111" Type="http://schemas.openxmlformats.org/officeDocument/2006/relationships/hyperlink" Target="https://workbench.cisecurity.org/benchmarks/15965" TargetMode="External"/><Relationship Id="rId132" Type="http://schemas.openxmlformats.org/officeDocument/2006/relationships/hyperlink" Target="https://workbench.cisecurity.org/benchmarks/15965" TargetMode="External"/><Relationship Id="rId153" Type="http://schemas.openxmlformats.org/officeDocument/2006/relationships/hyperlink" Target="https://workbench.cisecurity.org/benchmarks/15965" TargetMode="External"/><Relationship Id="rId174" Type="http://schemas.openxmlformats.org/officeDocument/2006/relationships/hyperlink" Target="https://workbench.cisecurity.org/benchmarks/15965" TargetMode="External"/><Relationship Id="rId195" Type="http://schemas.openxmlformats.org/officeDocument/2006/relationships/hyperlink" Target="https://workbench.cisecurity.org/benchmarks/15965" TargetMode="External"/><Relationship Id="rId209" Type="http://schemas.openxmlformats.org/officeDocument/2006/relationships/hyperlink" Target="https://workbench.cisecurity.org/benchmarks/15965" TargetMode="External"/><Relationship Id="rId220" Type="http://schemas.openxmlformats.org/officeDocument/2006/relationships/hyperlink" Target="https://workbench.cisecurity.org/benchmarks/15965" TargetMode="External"/><Relationship Id="rId241" Type="http://schemas.openxmlformats.org/officeDocument/2006/relationships/hyperlink" Target="https://workbench.cisecurity.org/benchmarks/15965" TargetMode="External"/><Relationship Id="rId15" Type="http://schemas.openxmlformats.org/officeDocument/2006/relationships/hyperlink" Target="https://workbench.cisecurity.org/benchmarks/15965" TargetMode="External"/><Relationship Id="rId36" Type="http://schemas.openxmlformats.org/officeDocument/2006/relationships/hyperlink" Target="https://workbench.cisecurity.org/benchmarks/15965" TargetMode="External"/><Relationship Id="rId57" Type="http://schemas.openxmlformats.org/officeDocument/2006/relationships/hyperlink" Target="https://workbench.cisecurity.org/benchmarks/15965" TargetMode="External"/><Relationship Id="rId262" Type="http://schemas.openxmlformats.org/officeDocument/2006/relationships/hyperlink" Target="https://workbench.cisecurity.org/benchmarks/15965" TargetMode="External"/><Relationship Id="rId283" Type="http://schemas.openxmlformats.org/officeDocument/2006/relationships/hyperlink" Target="https://workbench.cisecurity.org/benchmarks/15965" TargetMode="External"/><Relationship Id="rId78" Type="http://schemas.openxmlformats.org/officeDocument/2006/relationships/hyperlink" Target="https://workbench.cisecurity.org/benchmarks/15965" TargetMode="External"/><Relationship Id="rId99" Type="http://schemas.openxmlformats.org/officeDocument/2006/relationships/hyperlink" Target="https://workbench.cisecurity.org/benchmarks/15965" TargetMode="External"/><Relationship Id="rId101" Type="http://schemas.openxmlformats.org/officeDocument/2006/relationships/hyperlink" Target="https://workbench.cisecurity.org/benchmarks/15965" TargetMode="External"/><Relationship Id="rId122" Type="http://schemas.openxmlformats.org/officeDocument/2006/relationships/hyperlink" Target="https://workbench.cisecurity.org/benchmarks/15965" TargetMode="External"/><Relationship Id="rId143" Type="http://schemas.openxmlformats.org/officeDocument/2006/relationships/hyperlink" Target="https://workbench.cisecurity.org/benchmarks/15965" TargetMode="External"/><Relationship Id="rId164" Type="http://schemas.openxmlformats.org/officeDocument/2006/relationships/hyperlink" Target="https://workbench.cisecurity.org/benchmarks/15965" TargetMode="External"/><Relationship Id="rId185" Type="http://schemas.openxmlformats.org/officeDocument/2006/relationships/hyperlink" Target="https://workbench.cisecurity.org/benchmarks/15965" TargetMode="External"/><Relationship Id="rId9" Type="http://schemas.openxmlformats.org/officeDocument/2006/relationships/hyperlink" Target="https://workbench.cisecurity.org/benchmarks/15965" TargetMode="External"/><Relationship Id="rId210" Type="http://schemas.openxmlformats.org/officeDocument/2006/relationships/hyperlink" Target="https://workbench.cisecurity.org/benchmarks/15965" TargetMode="External"/><Relationship Id="rId26" Type="http://schemas.openxmlformats.org/officeDocument/2006/relationships/hyperlink" Target="https://workbench.cisecurity.org/benchmarks/15965" TargetMode="External"/><Relationship Id="rId231" Type="http://schemas.openxmlformats.org/officeDocument/2006/relationships/hyperlink" Target="https://workbench.cisecurity.org/benchmarks/15965" TargetMode="External"/><Relationship Id="rId252" Type="http://schemas.openxmlformats.org/officeDocument/2006/relationships/hyperlink" Target="https://workbench.cisecurity.org/benchmarks/15965" TargetMode="External"/><Relationship Id="rId273" Type="http://schemas.openxmlformats.org/officeDocument/2006/relationships/hyperlink" Target="https://workbench.cisecurity.org/benchmarks/15965" TargetMode="External"/><Relationship Id="rId294" Type="http://schemas.openxmlformats.org/officeDocument/2006/relationships/hyperlink" Target="https://workbench.cisecurity.org/benchmarks/15965" TargetMode="External"/><Relationship Id="rId47" Type="http://schemas.openxmlformats.org/officeDocument/2006/relationships/hyperlink" Target="https://workbench.cisecurity.org/benchmarks/15965" TargetMode="External"/><Relationship Id="rId68" Type="http://schemas.openxmlformats.org/officeDocument/2006/relationships/hyperlink" Target="https://workbench.cisecurity.org/benchmarks/15965" TargetMode="External"/><Relationship Id="rId89" Type="http://schemas.openxmlformats.org/officeDocument/2006/relationships/hyperlink" Target="https://workbench.cisecurity.org/benchmarks/15965" TargetMode="External"/><Relationship Id="rId112" Type="http://schemas.openxmlformats.org/officeDocument/2006/relationships/hyperlink" Target="https://workbench.cisecurity.org/benchmarks/15965" TargetMode="External"/><Relationship Id="rId133" Type="http://schemas.openxmlformats.org/officeDocument/2006/relationships/hyperlink" Target="https://workbench.cisecurity.org/benchmarks/15965" TargetMode="External"/><Relationship Id="rId154" Type="http://schemas.openxmlformats.org/officeDocument/2006/relationships/hyperlink" Target="https://workbench.cisecurity.org/benchmarks/15965" TargetMode="External"/><Relationship Id="rId175" Type="http://schemas.openxmlformats.org/officeDocument/2006/relationships/hyperlink" Target="https://workbench.cisecurity.org/benchmarks/15965" TargetMode="External"/><Relationship Id="rId196" Type="http://schemas.openxmlformats.org/officeDocument/2006/relationships/hyperlink" Target="https://workbench.cisecurity.org/benchmarks/15965" TargetMode="External"/><Relationship Id="rId200" Type="http://schemas.openxmlformats.org/officeDocument/2006/relationships/hyperlink" Target="https://workbench.cisecurity.org/benchmarks/15965" TargetMode="External"/><Relationship Id="rId16" Type="http://schemas.openxmlformats.org/officeDocument/2006/relationships/hyperlink" Target="https://workbench.cisecurity.org/benchmarks/15965" TargetMode="External"/><Relationship Id="rId221" Type="http://schemas.openxmlformats.org/officeDocument/2006/relationships/hyperlink" Target="https://workbench.cisecurity.org/benchmarks/15965" TargetMode="External"/><Relationship Id="rId242" Type="http://schemas.openxmlformats.org/officeDocument/2006/relationships/hyperlink" Target="https://workbench.cisecurity.org/benchmarks/15965" TargetMode="External"/><Relationship Id="rId263" Type="http://schemas.openxmlformats.org/officeDocument/2006/relationships/hyperlink" Target="https://workbench.cisecurity.org/benchmarks/15965" TargetMode="External"/><Relationship Id="rId284" Type="http://schemas.openxmlformats.org/officeDocument/2006/relationships/hyperlink" Target="https://workbench.cisecurity.org/benchmarks/15965" TargetMode="External"/><Relationship Id="rId37" Type="http://schemas.openxmlformats.org/officeDocument/2006/relationships/hyperlink" Target="https://workbench.cisecurity.org/benchmarks/15965" TargetMode="External"/><Relationship Id="rId58" Type="http://schemas.openxmlformats.org/officeDocument/2006/relationships/hyperlink" Target="https://workbench.cisecurity.org/benchmarks/15965" TargetMode="External"/><Relationship Id="rId79" Type="http://schemas.openxmlformats.org/officeDocument/2006/relationships/hyperlink" Target="https://workbench.cisecurity.org/benchmarks/15965" TargetMode="External"/><Relationship Id="rId102" Type="http://schemas.openxmlformats.org/officeDocument/2006/relationships/hyperlink" Target="https://workbench.cisecurity.org/benchmarks/15965" TargetMode="External"/><Relationship Id="rId123" Type="http://schemas.openxmlformats.org/officeDocument/2006/relationships/hyperlink" Target="https://workbench.cisecurity.org/benchmarks/15965" TargetMode="External"/><Relationship Id="rId144" Type="http://schemas.openxmlformats.org/officeDocument/2006/relationships/hyperlink" Target="https://workbench.cisecurity.org/benchmarks/15965" TargetMode="External"/><Relationship Id="rId90" Type="http://schemas.openxmlformats.org/officeDocument/2006/relationships/hyperlink" Target="https://workbench.cisecurity.org/benchmarks/15965" TargetMode="External"/><Relationship Id="rId165" Type="http://schemas.openxmlformats.org/officeDocument/2006/relationships/hyperlink" Target="https://workbench.cisecurity.org/benchmarks/15965" TargetMode="External"/><Relationship Id="rId186" Type="http://schemas.openxmlformats.org/officeDocument/2006/relationships/hyperlink" Target="https://workbench.cisecurity.org/benchmarks/15965" TargetMode="External"/><Relationship Id="rId211" Type="http://schemas.openxmlformats.org/officeDocument/2006/relationships/hyperlink" Target="https://workbench.cisecurity.org/benchmarks/15965" TargetMode="External"/><Relationship Id="rId232" Type="http://schemas.openxmlformats.org/officeDocument/2006/relationships/hyperlink" Target="https://workbench.cisecurity.org/benchmarks/15965" TargetMode="External"/><Relationship Id="rId253" Type="http://schemas.openxmlformats.org/officeDocument/2006/relationships/hyperlink" Target="https://workbench.cisecurity.org/benchmarks/15965" TargetMode="External"/><Relationship Id="rId274" Type="http://schemas.openxmlformats.org/officeDocument/2006/relationships/hyperlink" Target="https://workbench.cisecurity.org/benchmarks/15965" TargetMode="External"/><Relationship Id="rId295" Type="http://schemas.openxmlformats.org/officeDocument/2006/relationships/hyperlink" Target="https://workbench.cisecurity.org/benchmarks/15965" TargetMode="External"/><Relationship Id="rId27" Type="http://schemas.openxmlformats.org/officeDocument/2006/relationships/hyperlink" Target="https://workbench.cisecurity.org/benchmarks/15965" TargetMode="External"/><Relationship Id="rId48" Type="http://schemas.openxmlformats.org/officeDocument/2006/relationships/hyperlink" Target="https://workbench.cisecurity.org/benchmarks/15965" TargetMode="External"/><Relationship Id="rId69" Type="http://schemas.openxmlformats.org/officeDocument/2006/relationships/hyperlink" Target="https://workbench.cisecurity.org/benchmarks/15965" TargetMode="External"/><Relationship Id="rId113" Type="http://schemas.openxmlformats.org/officeDocument/2006/relationships/hyperlink" Target="https://workbench.cisecurity.org/benchmarks/15965" TargetMode="External"/><Relationship Id="rId134" Type="http://schemas.openxmlformats.org/officeDocument/2006/relationships/hyperlink" Target="https://workbench.cisecurity.org/benchmarks/15965" TargetMode="External"/><Relationship Id="rId80" Type="http://schemas.openxmlformats.org/officeDocument/2006/relationships/hyperlink" Target="https://workbench.cisecurity.org/benchmarks/15965" TargetMode="External"/><Relationship Id="rId155" Type="http://schemas.openxmlformats.org/officeDocument/2006/relationships/hyperlink" Target="https://workbench.cisecurity.org/benchmarks/15965" TargetMode="External"/><Relationship Id="rId176" Type="http://schemas.openxmlformats.org/officeDocument/2006/relationships/hyperlink" Target="https://workbench.cisecurity.org/benchmarks/15965" TargetMode="External"/><Relationship Id="rId197" Type="http://schemas.openxmlformats.org/officeDocument/2006/relationships/hyperlink" Target="https://workbench.cisecurity.org/benchmarks/15965" TargetMode="External"/><Relationship Id="rId201" Type="http://schemas.openxmlformats.org/officeDocument/2006/relationships/hyperlink" Target="https://workbench.cisecurity.org/benchmarks/15965" TargetMode="External"/><Relationship Id="rId222" Type="http://schemas.openxmlformats.org/officeDocument/2006/relationships/hyperlink" Target="https://workbench.cisecurity.org/benchmarks/15965" TargetMode="External"/><Relationship Id="rId243" Type="http://schemas.openxmlformats.org/officeDocument/2006/relationships/hyperlink" Target="https://workbench.cisecurity.org/benchmarks/15965" TargetMode="External"/><Relationship Id="rId264" Type="http://schemas.openxmlformats.org/officeDocument/2006/relationships/hyperlink" Target="https://workbench.cisecurity.org/benchmarks/15965" TargetMode="External"/><Relationship Id="rId285" Type="http://schemas.openxmlformats.org/officeDocument/2006/relationships/hyperlink" Target="https://workbench.cisecurity.org/benchmarks/15965" TargetMode="External"/><Relationship Id="rId17" Type="http://schemas.openxmlformats.org/officeDocument/2006/relationships/hyperlink" Target="https://workbench.cisecurity.org/benchmarks/15965" TargetMode="External"/><Relationship Id="rId38" Type="http://schemas.openxmlformats.org/officeDocument/2006/relationships/hyperlink" Target="https://workbench.cisecurity.org/benchmarks/15965" TargetMode="External"/><Relationship Id="rId59" Type="http://schemas.openxmlformats.org/officeDocument/2006/relationships/hyperlink" Target="https://workbench.cisecurity.org/benchmarks/15965" TargetMode="External"/><Relationship Id="rId103" Type="http://schemas.openxmlformats.org/officeDocument/2006/relationships/hyperlink" Target="https://workbench.cisecurity.org/benchmarks/15965" TargetMode="External"/><Relationship Id="rId124" Type="http://schemas.openxmlformats.org/officeDocument/2006/relationships/hyperlink" Target="https://workbench.cisecurity.org/benchmarks/15965" TargetMode="External"/><Relationship Id="rId70" Type="http://schemas.openxmlformats.org/officeDocument/2006/relationships/hyperlink" Target="https://workbench.cisecurity.org/benchmarks/15965" TargetMode="External"/><Relationship Id="rId91" Type="http://schemas.openxmlformats.org/officeDocument/2006/relationships/hyperlink" Target="https://workbench.cisecurity.org/benchmarks/15965" TargetMode="External"/><Relationship Id="rId145" Type="http://schemas.openxmlformats.org/officeDocument/2006/relationships/hyperlink" Target="https://workbench.cisecurity.org/benchmarks/15965" TargetMode="External"/><Relationship Id="rId166" Type="http://schemas.openxmlformats.org/officeDocument/2006/relationships/hyperlink" Target="https://workbench.cisecurity.org/benchmarks/15965" TargetMode="External"/><Relationship Id="rId187" Type="http://schemas.openxmlformats.org/officeDocument/2006/relationships/hyperlink" Target="https://workbench.cisecurity.org/benchmarks/15965" TargetMode="External"/><Relationship Id="rId1" Type="http://schemas.openxmlformats.org/officeDocument/2006/relationships/hyperlink" Target="https://workbench.cisecurity.org/benchmarks/15965" TargetMode="External"/><Relationship Id="rId212" Type="http://schemas.openxmlformats.org/officeDocument/2006/relationships/hyperlink" Target="https://workbench.cisecurity.org/benchmarks/15965" TargetMode="External"/><Relationship Id="rId233" Type="http://schemas.openxmlformats.org/officeDocument/2006/relationships/hyperlink" Target="https://workbench.cisecurity.org/benchmarks/15965" TargetMode="External"/><Relationship Id="rId254" Type="http://schemas.openxmlformats.org/officeDocument/2006/relationships/hyperlink" Target="https://workbench.cisecurity.org/benchmarks/15965" TargetMode="External"/><Relationship Id="rId28" Type="http://schemas.openxmlformats.org/officeDocument/2006/relationships/hyperlink" Target="https://workbench.cisecurity.org/benchmarks/15965" TargetMode="External"/><Relationship Id="rId49" Type="http://schemas.openxmlformats.org/officeDocument/2006/relationships/hyperlink" Target="https://workbench.cisecurity.org/benchmarks/15965" TargetMode="External"/><Relationship Id="rId114" Type="http://schemas.openxmlformats.org/officeDocument/2006/relationships/hyperlink" Target="https://workbench.cisecurity.org/benchmarks/15965" TargetMode="External"/><Relationship Id="rId275" Type="http://schemas.openxmlformats.org/officeDocument/2006/relationships/hyperlink" Target="https://workbench.cisecurity.org/benchmarks/15965" TargetMode="External"/><Relationship Id="rId296" Type="http://schemas.openxmlformats.org/officeDocument/2006/relationships/hyperlink" Target="https://workbench.cisecurity.org/benchmarks/15965" TargetMode="External"/><Relationship Id="rId300" Type="http://schemas.openxmlformats.org/officeDocument/2006/relationships/hyperlink" Target="https://workbench.cisecurity.org/benchmarks/15965" TargetMode="External"/><Relationship Id="rId60" Type="http://schemas.openxmlformats.org/officeDocument/2006/relationships/hyperlink" Target="https://workbench.cisecurity.org/benchmarks/15965" TargetMode="External"/><Relationship Id="rId81" Type="http://schemas.openxmlformats.org/officeDocument/2006/relationships/hyperlink" Target="https://workbench.cisecurity.org/benchmarks/15965" TargetMode="External"/><Relationship Id="rId135" Type="http://schemas.openxmlformats.org/officeDocument/2006/relationships/hyperlink" Target="https://workbench.cisecurity.org/benchmarks/15965" TargetMode="External"/><Relationship Id="rId156" Type="http://schemas.openxmlformats.org/officeDocument/2006/relationships/hyperlink" Target="https://workbench.cisecurity.org/benchmarks/15965" TargetMode="External"/><Relationship Id="rId177" Type="http://schemas.openxmlformats.org/officeDocument/2006/relationships/hyperlink" Target="https://workbench.cisecurity.org/benchmarks/15965" TargetMode="External"/><Relationship Id="rId198" Type="http://schemas.openxmlformats.org/officeDocument/2006/relationships/hyperlink" Target="https://workbench.cisecurity.org/benchmarks/15965" TargetMode="External"/><Relationship Id="rId202" Type="http://schemas.openxmlformats.org/officeDocument/2006/relationships/hyperlink" Target="https://workbench.cisecurity.org/benchmarks/15965" TargetMode="External"/><Relationship Id="rId223" Type="http://schemas.openxmlformats.org/officeDocument/2006/relationships/hyperlink" Target="https://workbench.cisecurity.org/benchmarks/15965" TargetMode="External"/><Relationship Id="rId244" Type="http://schemas.openxmlformats.org/officeDocument/2006/relationships/hyperlink" Target="https://workbench.cisecurity.org/benchmarks/15965" TargetMode="External"/><Relationship Id="rId18" Type="http://schemas.openxmlformats.org/officeDocument/2006/relationships/hyperlink" Target="https://workbench.cisecurity.org/benchmarks/15965" TargetMode="External"/><Relationship Id="rId39" Type="http://schemas.openxmlformats.org/officeDocument/2006/relationships/hyperlink" Target="https://workbench.cisecurity.org/benchmarks/15965" TargetMode="External"/><Relationship Id="rId265" Type="http://schemas.openxmlformats.org/officeDocument/2006/relationships/hyperlink" Target="https://workbench.cisecurity.org/benchmarks/15965" TargetMode="External"/><Relationship Id="rId286" Type="http://schemas.openxmlformats.org/officeDocument/2006/relationships/hyperlink" Target="https://workbench.cisecurity.org/benchmarks/15965" TargetMode="External"/><Relationship Id="rId50" Type="http://schemas.openxmlformats.org/officeDocument/2006/relationships/hyperlink" Target="https://workbench.cisecurity.org/benchmarks/15965" TargetMode="External"/><Relationship Id="rId104" Type="http://schemas.openxmlformats.org/officeDocument/2006/relationships/hyperlink" Target="https://workbench.cisecurity.org/benchmarks/15965" TargetMode="External"/><Relationship Id="rId125" Type="http://schemas.openxmlformats.org/officeDocument/2006/relationships/hyperlink" Target="https://workbench.cisecurity.org/benchmarks/15965" TargetMode="External"/><Relationship Id="rId146" Type="http://schemas.openxmlformats.org/officeDocument/2006/relationships/hyperlink" Target="https://workbench.cisecurity.org/benchmarks/15965" TargetMode="External"/><Relationship Id="rId167" Type="http://schemas.openxmlformats.org/officeDocument/2006/relationships/hyperlink" Target="https://workbench.cisecurity.org/benchmarks/15965" TargetMode="External"/><Relationship Id="rId188" Type="http://schemas.openxmlformats.org/officeDocument/2006/relationships/hyperlink" Target="https://workbench.cisecurity.org/benchmarks/15965" TargetMode="External"/><Relationship Id="rId71" Type="http://schemas.openxmlformats.org/officeDocument/2006/relationships/hyperlink" Target="https://workbench.cisecurity.org/benchmarks/15965" TargetMode="External"/><Relationship Id="rId92" Type="http://schemas.openxmlformats.org/officeDocument/2006/relationships/hyperlink" Target="https://workbench.cisecurity.org/benchmarks/15965" TargetMode="External"/><Relationship Id="rId213" Type="http://schemas.openxmlformats.org/officeDocument/2006/relationships/hyperlink" Target="https://workbench.cisecurity.org/benchmarks/15965" TargetMode="External"/><Relationship Id="rId234" Type="http://schemas.openxmlformats.org/officeDocument/2006/relationships/hyperlink" Target="https://workbench.cisecurity.org/benchmarks/15965" TargetMode="External"/><Relationship Id="rId2" Type="http://schemas.openxmlformats.org/officeDocument/2006/relationships/hyperlink" Target="https://workbench.cisecurity.org/benchmarks/15965" TargetMode="External"/><Relationship Id="rId29" Type="http://schemas.openxmlformats.org/officeDocument/2006/relationships/hyperlink" Target="https://workbench.cisecurity.org/benchmarks/15965" TargetMode="External"/><Relationship Id="rId255" Type="http://schemas.openxmlformats.org/officeDocument/2006/relationships/hyperlink" Target="https://workbench.cisecurity.org/benchmarks/15965" TargetMode="External"/><Relationship Id="rId276" Type="http://schemas.openxmlformats.org/officeDocument/2006/relationships/hyperlink" Target="https://workbench.cisecurity.org/benchmarks/15965" TargetMode="External"/><Relationship Id="rId297" Type="http://schemas.openxmlformats.org/officeDocument/2006/relationships/hyperlink" Target="https://workbench.cisecurity.org/benchmarks/15965" TargetMode="External"/><Relationship Id="rId40" Type="http://schemas.openxmlformats.org/officeDocument/2006/relationships/hyperlink" Target="https://workbench.cisecurity.org/benchmarks/15965" TargetMode="External"/><Relationship Id="rId115" Type="http://schemas.openxmlformats.org/officeDocument/2006/relationships/hyperlink" Target="https://workbench.cisecurity.org/benchmarks/15965" TargetMode="External"/><Relationship Id="rId136" Type="http://schemas.openxmlformats.org/officeDocument/2006/relationships/hyperlink" Target="https://workbench.cisecurity.org/benchmarks/15965" TargetMode="External"/><Relationship Id="rId157" Type="http://schemas.openxmlformats.org/officeDocument/2006/relationships/hyperlink" Target="https://workbench.cisecurity.org/benchmarks/15965" TargetMode="External"/><Relationship Id="rId178" Type="http://schemas.openxmlformats.org/officeDocument/2006/relationships/hyperlink" Target="https://workbench.cisecurity.org/benchmarks/15965" TargetMode="External"/><Relationship Id="rId301" Type="http://schemas.openxmlformats.org/officeDocument/2006/relationships/hyperlink" Target="https://workbench.cisecurity.org/benchmarks/15965" TargetMode="External"/><Relationship Id="rId61" Type="http://schemas.openxmlformats.org/officeDocument/2006/relationships/hyperlink" Target="https://workbench.cisecurity.org/benchmarks/15965" TargetMode="External"/><Relationship Id="rId82" Type="http://schemas.openxmlformats.org/officeDocument/2006/relationships/hyperlink" Target="https://workbench.cisecurity.org/benchmarks/15965" TargetMode="External"/><Relationship Id="rId199" Type="http://schemas.openxmlformats.org/officeDocument/2006/relationships/hyperlink" Target="https://workbench.cisecurity.org/benchmarks/15965" TargetMode="External"/><Relationship Id="rId203" Type="http://schemas.openxmlformats.org/officeDocument/2006/relationships/hyperlink" Target="https://workbench.cisecurity.org/benchmarks/15965" TargetMode="External"/><Relationship Id="rId19" Type="http://schemas.openxmlformats.org/officeDocument/2006/relationships/hyperlink" Target="https://workbench.cisecurity.org/benchmarks/15965" TargetMode="External"/><Relationship Id="rId224" Type="http://schemas.openxmlformats.org/officeDocument/2006/relationships/hyperlink" Target="https://workbench.cisecurity.org/benchmarks/15965" TargetMode="External"/><Relationship Id="rId245" Type="http://schemas.openxmlformats.org/officeDocument/2006/relationships/hyperlink" Target="https://workbench.cisecurity.org/benchmarks/15965" TargetMode="External"/><Relationship Id="rId266" Type="http://schemas.openxmlformats.org/officeDocument/2006/relationships/hyperlink" Target="https://workbench.cisecurity.org/benchmarks/15965" TargetMode="External"/><Relationship Id="rId287" Type="http://schemas.openxmlformats.org/officeDocument/2006/relationships/hyperlink" Target="https://workbench.cisecurity.org/benchmarks/15965" TargetMode="External"/><Relationship Id="rId30" Type="http://schemas.openxmlformats.org/officeDocument/2006/relationships/hyperlink" Target="https://workbench.cisecurity.org/benchmarks/15965" TargetMode="External"/><Relationship Id="rId105" Type="http://schemas.openxmlformats.org/officeDocument/2006/relationships/hyperlink" Target="https://workbench.cisecurity.org/benchmarks/15965" TargetMode="External"/><Relationship Id="rId126" Type="http://schemas.openxmlformats.org/officeDocument/2006/relationships/hyperlink" Target="https://workbench.cisecurity.org/benchmarks/15965" TargetMode="External"/><Relationship Id="rId147" Type="http://schemas.openxmlformats.org/officeDocument/2006/relationships/hyperlink" Target="https://workbench.cisecurity.org/benchmarks/15965" TargetMode="External"/><Relationship Id="rId168" Type="http://schemas.openxmlformats.org/officeDocument/2006/relationships/hyperlink" Target="https://workbench.cisecurity.org/benchmarks/15965" TargetMode="External"/><Relationship Id="rId51" Type="http://schemas.openxmlformats.org/officeDocument/2006/relationships/hyperlink" Target="https://workbench.cisecurity.org/benchmarks/15965" TargetMode="External"/><Relationship Id="rId72" Type="http://schemas.openxmlformats.org/officeDocument/2006/relationships/hyperlink" Target="https://workbench.cisecurity.org/benchmarks/15965" TargetMode="External"/><Relationship Id="rId93" Type="http://schemas.openxmlformats.org/officeDocument/2006/relationships/hyperlink" Target="https://workbench.cisecurity.org/benchmarks/15965" TargetMode="External"/><Relationship Id="rId189" Type="http://schemas.openxmlformats.org/officeDocument/2006/relationships/hyperlink" Target="https://workbench.cisecurity.org/benchmarks/15965" TargetMode="External"/><Relationship Id="rId3" Type="http://schemas.openxmlformats.org/officeDocument/2006/relationships/hyperlink" Target="https://workbench.cisecurity.org/benchmarks/15965" TargetMode="External"/><Relationship Id="rId214" Type="http://schemas.openxmlformats.org/officeDocument/2006/relationships/hyperlink" Target="https://workbench.cisecurity.org/benchmarks/15965" TargetMode="External"/><Relationship Id="rId235" Type="http://schemas.openxmlformats.org/officeDocument/2006/relationships/hyperlink" Target="https://workbench.cisecurity.org/benchmarks/15965" TargetMode="External"/><Relationship Id="rId256" Type="http://schemas.openxmlformats.org/officeDocument/2006/relationships/hyperlink" Target="https://workbench.cisecurity.org/benchmarks/15965" TargetMode="External"/><Relationship Id="rId277" Type="http://schemas.openxmlformats.org/officeDocument/2006/relationships/hyperlink" Target="https://workbench.cisecurity.org/benchmarks/15965" TargetMode="External"/><Relationship Id="rId298" Type="http://schemas.openxmlformats.org/officeDocument/2006/relationships/hyperlink" Target="https://workbench.cisecurity.org/benchmarks/15965" TargetMode="External"/><Relationship Id="rId116" Type="http://schemas.openxmlformats.org/officeDocument/2006/relationships/hyperlink" Target="https://workbench.cisecurity.org/benchmarks/15965" TargetMode="External"/><Relationship Id="rId137" Type="http://schemas.openxmlformats.org/officeDocument/2006/relationships/hyperlink" Target="https://workbench.cisecurity.org/benchmarks/15965" TargetMode="External"/><Relationship Id="rId158" Type="http://schemas.openxmlformats.org/officeDocument/2006/relationships/hyperlink" Target="https://workbench.cisecurity.org/benchmarks/15965" TargetMode="External"/><Relationship Id="rId302" Type="http://schemas.openxmlformats.org/officeDocument/2006/relationships/hyperlink" Target="https://workbench.cisecurity.org/benchmarks/15965" TargetMode="External"/><Relationship Id="rId20" Type="http://schemas.openxmlformats.org/officeDocument/2006/relationships/hyperlink" Target="https://workbench.cisecurity.org/benchmarks/15965" TargetMode="External"/><Relationship Id="rId41" Type="http://schemas.openxmlformats.org/officeDocument/2006/relationships/hyperlink" Target="https://workbench.cisecurity.org/benchmarks/15965" TargetMode="External"/><Relationship Id="rId62" Type="http://schemas.openxmlformats.org/officeDocument/2006/relationships/hyperlink" Target="https://workbench.cisecurity.org/benchmarks/15965" TargetMode="External"/><Relationship Id="rId83" Type="http://schemas.openxmlformats.org/officeDocument/2006/relationships/hyperlink" Target="https://workbench.cisecurity.org/benchmarks/15965" TargetMode="External"/><Relationship Id="rId179" Type="http://schemas.openxmlformats.org/officeDocument/2006/relationships/hyperlink" Target="https://workbench.cisecurity.org/benchmarks/15965" TargetMode="External"/><Relationship Id="rId190" Type="http://schemas.openxmlformats.org/officeDocument/2006/relationships/hyperlink" Target="https://workbench.cisecurity.org/benchmarks/15965" TargetMode="External"/><Relationship Id="rId204" Type="http://schemas.openxmlformats.org/officeDocument/2006/relationships/hyperlink" Target="https://workbench.cisecurity.org/benchmarks/15965" TargetMode="External"/><Relationship Id="rId225" Type="http://schemas.openxmlformats.org/officeDocument/2006/relationships/hyperlink" Target="https://workbench.cisecurity.org/benchmarks/15965" TargetMode="External"/><Relationship Id="rId246" Type="http://schemas.openxmlformats.org/officeDocument/2006/relationships/hyperlink" Target="https://workbench.cisecurity.org/benchmarks/15965" TargetMode="External"/><Relationship Id="rId267" Type="http://schemas.openxmlformats.org/officeDocument/2006/relationships/hyperlink" Target="https://workbench.cisecurity.org/benchmarks/15965" TargetMode="External"/><Relationship Id="rId288" Type="http://schemas.openxmlformats.org/officeDocument/2006/relationships/hyperlink" Target="https://workbench.cisecurity.org/benchmarks/15965" TargetMode="External"/><Relationship Id="rId106" Type="http://schemas.openxmlformats.org/officeDocument/2006/relationships/hyperlink" Target="https://workbench.cisecurity.org/benchmarks/15965" TargetMode="External"/><Relationship Id="rId127" Type="http://schemas.openxmlformats.org/officeDocument/2006/relationships/hyperlink" Target="https://workbench.cisecurity.org/benchmarks/15965" TargetMode="External"/><Relationship Id="rId10" Type="http://schemas.openxmlformats.org/officeDocument/2006/relationships/hyperlink" Target="https://workbench.cisecurity.org/benchmarks/15965" TargetMode="External"/><Relationship Id="rId31" Type="http://schemas.openxmlformats.org/officeDocument/2006/relationships/hyperlink" Target="https://workbench.cisecurity.org/benchmarks/15965" TargetMode="External"/><Relationship Id="rId52" Type="http://schemas.openxmlformats.org/officeDocument/2006/relationships/hyperlink" Target="https://workbench.cisecurity.org/benchmarks/15965" TargetMode="External"/><Relationship Id="rId73" Type="http://schemas.openxmlformats.org/officeDocument/2006/relationships/hyperlink" Target="https://workbench.cisecurity.org/benchmarks/15965" TargetMode="External"/><Relationship Id="rId94" Type="http://schemas.openxmlformats.org/officeDocument/2006/relationships/hyperlink" Target="https://workbench.cisecurity.org/benchmarks/15965" TargetMode="External"/><Relationship Id="rId148" Type="http://schemas.openxmlformats.org/officeDocument/2006/relationships/hyperlink" Target="https://workbench.cisecurity.org/benchmarks/15965" TargetMode="External"/><Relationship Id="rId169" Type="http://schemas.openxmlformats.org/officeDocument/2006/relationships/hyperlink" Target="https://workbench.cisecurity.org/benchmarks/15965" TargetMode="External"/><Relationship Id="rId4" Type="http://schemas.openxmlformats.org/officeDocument/2006/relationships/hyperlink" Target="https://workbench.cisecurity.org/benchmarks/15965" TargetMode="External"/><Relationship Id="rId180" Type="http://schemas.openxmlformats.org/officeDocument/2006/relationships/hyperlink" Target="https://workbench.cisecurity.org/benchmarks/15965" TargetMode="External"/><Relationship Id="rId215" Type="http://schemas.openxmlformats.org/officeDocument/2006/relationships/hyperlink" Target="https://workbench.cisecurity.org/benchmarks/15965" TargetMode="External"/><Relationship Id="rId236" Type="http://schemas.openxmlformats.org/officeDocument/2006/relationships/hyperlink" Target="https://workbench.cisecurity.org/benchmarks/15965" TargetMode="External"/><Relationship Id="rId257" Type="http://schemas.openxmlformats.org/officeDocument/2006/relationships/hyperlink" Target="https://workbench.cisecurity.org/benchmarks/15965" TargetMode="External"/><Relationship Id="rId278" Type="http://schemas.openxmlformats.org/officeDocument/2006/relationships/hyperlink" Target="https://workbench.cisecurity.org/benchmarks/15965" TargetMode="External"/><Relationship Id="rId303" Type="http://schemas.openxmlformats.org/officeDocument/2006/relationships/hyperlink" Target="https://workbench.cisecurity.org/benchmarks/15965" TargetMode="External"/><Relationship Id="rId42" Type="http://schemas.openxmlformats.org/officeDocument/2006/relationships/hyperlink" Target="https://workbench.cisecurity.org/benchmarks/15965" TargetMode="External"/><Relationship Id="rId84" Type="http://schemas.openxmlformats.org/officeDocument/2006/relationships/hyperlink" Target="https://workbench.cisecurity.org/benchmarks/15965" TargetMode="External"/><Relationship Id="rId138" Type="http://schemas.openxmlformats.org/officeDocument/2006/relationships/hyperlink" Target="https://workbench.cisecurity.org/benchmarks/15965" TargetMode="External"/><Relationship Id="rId191" Type="http://schemas.openxmlformats.org/officeDocument/2006/relationships/hyperlink" Target="https://workbench.cisecurity.org/benchmarks/15965" TargetMode="External"/><Relationship Id="rId205" Type="http://schemas.openxmlformats.org/officeDocument/2006/relationships/hyperlink" Target="https://workbench.cisecurity.org/benchmarks/15965" TargetMode="External"/><Relationship Id="rId247" Type="http://schemas.openxmlformats.org/officeDocument/2006/relationships/hyperlink" Target="https://workbench.cisecurity.org/benchmarks/15965" TargetMode="External"/><Relationship Id="rId107" Type="http://schemas.openxmlformats.org/officeDocument/2006/relationships/hyperlink" Target="https://workbench.cisecurity.org/benchmarks/15965" TargetMode="External"/><Relationship Id="rId289" Type="http://schemas.openxmlformats.org/officeDocument/2006/relationships/hyperlink" Target="https://workbench.cisecurity.org/benchmarks/15965" TargetMode="External"/><Relationship Id="rId11" Type="http://schemas.openxmlformats.org/officeDocument/2006/relationships/hyperlink" Target="https://workbench.cisecurity.org/benchmarks/15965" TargetMode="External"/><Relationship Id="rId53" Type="http://schemas.openxmlformats.org/officeDocument/2006/relationships/hyperlink" Target="https://workbench.cisecurity.org/benchmarks/15965" TargetMode="External"/><Relationship Id="rId149" Type="http://schemas.openxmlformats.org/officeDocument/2006/relationships/hyperlink" Target="https://workbench.cisecurity.org/benchmarks/15965" TargetMode="External"/><Relationship Id="rId95" Type="http://schemas.openxmlformats.org/officeDocument/2006/relationships/hyperlink" Target="https://workbench.cisecurity.org/benchmarks/15965" TargetMode="External"/><Relationship Id="rId160" Type="http://schemas.openxmlformats.org/officeDocument/2006/relationships/hyperlink" Target="https://workbench.cisecurity.org/benchmarks/15965" TargetMode="External"/><Relationship Id="rId216" Type="http://schemas.openxmlformats.org/officeDocument/2006/relationships/hyperlink" Target="https://workbench.cisecurity.org/benchmarks/15965" TargetMode="External"/><Relationship Id="rId258" Type="http://schemas.openxmlformats.org/officeDocument/2006/relationships/hyperlink" Target="https://workbench.cisecurity.org/benchmarks/15965" TargetMode="External"/><Relationship Id="rId22" Type="http://schemas.openxmlformats.org/officeDocument/2006/relationships/hyperlink" Target="https://workbench.cisecurity.org/benchmarks/15965" TargetMode="External"/><Relationship Id="rId64" Type="http://schemas.openxmlformats.org/officeDocument/2006/relationships/hyperlink" Target="https://workbench.cisecurity.org/benchmarks/15965" TargetMode="External"/><Relationship Id="rId118" Type="http://schemas.openxmlformats.org/officeDocument/2006/relationships/hyperlink" Target="https://workbench.cisecurity.org/benchmarks/15965" TargetMode="External"/><Relationship Id="rId171" Type="http://schemas.openxmlformats.org/officeDocument/2006/relationships/hyperlink" Target="https://workbench.cisecurity.org/benchmarks/15965" TargetMode="External"/><Relationship Id="rId227" Type="http://schemas.openxmlformats.org/officeDocument/2006/relationships/hyperlink" Target="https://workbench.cisecurity.org/benchmarks/15965" TargetMode="External"/><Relationship Id="rId269" Type="http://schemas.openxmlformats.org/officeDocument/2006/relationships/hyperlink" Target="https://workbench.cisecurity.org/benchmarks/15965" TargetMode="External"/><Relationship Id="rId33" Type="http://schemas.openxmlformats.org/officeDocument/2006/relationships/hyperlink" Target="https://workbench.cisecurity.org/benchmarks/15965" TargetMode="External"/><Relationship Id="rId129" Type="http://schemas.openxmlformats.org/officeDocument/2006/relationships/hyperlink" Target="https://workbench.cisecurity.org/benchmarks/15965" TargetMode="External"/><Relationship Id="rId280" Type="http://schemas.openxmlformats.org/officeDocument/2006/relationships/hyperlink" Target="https://workbench.cisecurity.org/benchmarks/15965" TargetMode="External"/><Relationship Id="rId75" Type="http://schemas.openxmlformats.org/officeDocument/2006/relationships/hyperlink" Target="https://workbench.cisecurity.org/benchmarks/15965" TargetMode="External"/><Relationship Id="rId140" Type="http://schemas.openxmlformats.org/officeDocument/2006/relationships/hyperlink" Target="https://workbench.cisecurity.org/benchmarks/15965" TargetMode="External"/><Relationship Id="rId182" Type="http://schemas.openxmlformats.org/officeDocument/2006/relationships/hyperlink" Target="https://workbench.cisecurity.org/benchmarks/15965"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workbookViewId="0">
      <selection sqref="A1:B1"/>
    </sheetView>
  </sheetViews>
  <sheetFormatPr defaultRowHeight="14.4" x14ac:dyDescent="0.3"/>
  <cols>
    <col min="1" max="1" width="70.6640625" customWidth="1"/>
  </cols>
  <sheetData>
    <row r="1" spans="1:2" x14ac:dyDescent="0.3">
      <c r="A1" s="4" t="s">
        <v>1583</v>
      </c>
      <c r="B1" s="4"/>
    </row>
    <row r="2" spans="1:2" x14ac:dyDescent="0.3">
      <c r="A2" s="2" t="s">
        <v>1584</v>
      </c>
    </row>
    <row r="3" spans="1:2" x14ac:dyDescent="0.3">
      <c r="A3" s="2" t="s">
        <v>1585</v>
      </c>
    </row>
    <row r="4" spans="1:2" x14ac:dyDescent="0.3">
      <c r="A4" s="2" t="s">
        <v>1586</v>
      </c>
    </row>
    <row r="5" spans="1:2" x14ac:dyDescent="0.3">
      <c r="A5" s="2" t="s">
        <v>1587</v>
      </c>
    </row>
    <row r="6" spans="1:2" x14ac:dyDescent="0.3">
      <c r="A6" s="2" t="s">
        <v>1588</v>
      </c>
    </row>
    <row r="7" spans="1:2" x14ac:dyDescent="0.3">
      <c r="A7" s="2" t="s">
        <v>134</v>
      </c>
    </row>
    <row r="8" spans="1:2" x14ac:dyDescent="0.3">
      <c r="A8" s="2" t="s">
        <v>1589</v>
      </c>
    </row>
    <row r="9" spans="1:2" x14ac:dyDescent="0.3">
      <c r="A9" s="2" t="s">
        <v>1590</v>
      </c>
    </row>
    <row r="10" spans="1:2" x14ac:dyDescent="0.3">
      <c r="A10" s="2" t="s">
        <v>1591</v>
      </c>
    </row>
    <row r="11" spans="1:2" x14ac:dyDescent="0.3">
      <c r="A11" s="2" t="s">
        <v>1592</v>
      </c>
    </row>
    <row r="12" spans="1:2" x14ac:dyDescent="0.3">
      <c r="A12" s="2" t="s">
        <v>1593</v>
      </c>
    </row>
    <row r="13" spans="1:2" x14ac:dyDescent="0.3">
      <c r="A13" s="2" t="s">
        <v>1594</v>
      </c>
    </row>
    <row r="14" spans="1:2" x14ac:dyDescent="0.3">
      <c r="A14" s="2" t="s">
        <v>1595</v>
      </c>
    </row>
    <row r="15" spans="1:2" x14ac:dyDescent="0.3">
      <c r="A15" s="2" t="s">
        <v>1596</v>
      </c>
    </row>
    <row r="16" spans="1:2" x14ac:dyDescent="0.3">
      <c r="A16" s="2" t="s">
        <v>1597</v>
      </c>
    </row>
    <row r="19" spans="1:2" x14ac:dyDescent="0.3">
      <c r="A19" s="4" t="s">
        <v>1598</v>
      </c>
      <c r="B19" s="4"/>
    </row>
    <row r="20" spans="1:2" x14ac:dyDescent="0.3">
      <c r="A20" t="s">
        <v>1599</v>
      </c>
      <c r="B20">
        <v>2</v>
      </c>
    </row>
    <row r="21" spans="1:2" x14ac:dyDescent="0.3">
      <c r="A21" t="s">
        <v>1600</v>
      </c>
      <c r="B21">
        <v>1</v>
      </c>
    </row>
    <row r="23" spans="1:2" x14ac:dyDescent="0.3">
      <c r="A23" t="s">
        <v>1601</v>
      </c>
      <c r="B23">
        <v>0</v>
      </c>
    </row>
    <row r="24" spans="1:2" x14ac:dyDescent="0.3">
      <c r="A24" t="s">
        <v>1602</v>
      </c>
      <c r="B24">
        <v>0</v>
      </c>
    </row>
    <row r="25" spans="1:2" x14ac:dyDescent="0.3">
      <c r="A25" t="s">
        <v>1603</v>
      </c>
      <c r="B25">
        <v>0</v>
      </c>
    </row>
    <row r="26" spans="1:2" x14ac:dyDescent="0.3">
      <c r="A26" t="s">
        <v>1604</v>
      </c>
      <c r="B26">
        <v>0</v>
      </c>
    </row>
    <row r="27" spans="1:2" x14ac:dyDescent="0.3">
      <c r="A27" t="s">
        <v>1605</v>
      </c>
      <c r="B27">
        <v>8</v>
      </c>
    </row>
    <row r="29" spans="1:2" x14ac:dyDescent="0.3">
      <c r="A29" t="s">
        <v>1606</v>
      </c>
      <c r="B29" t="s">
        <v>27</v>
      </c>
    </row>
    <row r="30" spans="1:2" x14ac:dyDescent="0.3">
      <c r="A30" t="s">
        <v>1607</v>
      </c>
      <c r="B30" t="s">
        <v>27</v>
      </c>
    </row>
    <row r="31" spans="1:2" x14ac:dyDescent="0.3">
      <c r="A31" t="s">
        <v>1608</v>
      </c>
      <c r="B31" t="s">
        <v>27</v>
      </c>
    </row>
    <row r="32" spans="1:2" x14ac:dyDescent="0.3">
      <c r="A32" t="s">
        <v>1609</v>
      </c>
      <c r="B32" t="s">
        <v>27</v>
      </c>
    </row>
    <row r="34" spans="1:2" x14ac:dyDescent="0.3">
      <c r="A34" t="s">
        <v>1610</v>
      </c>
    </row>
    <row r="35" spans="1:2" x14ac:dyDescent="0.3">
      <c r="A35" t="s">
        <v>1611</v>
      </c>
    </row>
    <row r="36" spans="1:2" x14ac:dyDescent="0.3">
      <c r="A36" t="s">
        <v>1612</v>
      </c>
      <c r="B36">
        <f>COUNTIF(HostConfigData!M3:M3,"&gt;0")</f>
        <v>0</v>
      </c>
    </row>
    <row r="37" spans="1:2" x14ac:dyDescent="0.3">
      <c r="A37" t="s">
        <v>1613</v>
      </c>
      <c r="B37">
        <f>COUNTIF(HostConfigData!L3:L3,"&gt;0")</f>
        <v>0</v>
      </c>
    </row>
    <row r="38" spans="1:2" x14ac:dyDescent="0.3">
      <c r="A38" t="s">
        <v>1614</v>
      </c>
      <c r="B38">
        <f>COUNTIF(HostConfigData!K3:K3,"&gt;0")</f>
        <v>0</v>
      </c>
    </row>
    <row r="39" spans="1:2" x14ac:dyDescent="0.3">
      <c r="A39" t="s">
        <v>1615</v>
      </c>
      <c r="B39">
        <f>COUNTIF(HostConfigData!J3:J3,"&gt;0")</f>
        <v>0</v>
      </c>
    </row>
    <row r="40" spans="1:2" x14ac:dyDescent="0.3">
      <c r="A40" t="s">
        <v>1616</v>
      </c>
      <c r="B40">
        <f>COUNTIF(HostConfigData!I3:I3,"&gt;0")</f>
        <v>1</v>
      </c>
    </row>
  </sheetData>
  <mergeCells count="2">
    <mergeCell ref="A1:B1"/>
    <mergeCell ref="A19:B19"/>
  </mergeCells>
  <hyperlinks>
    <hyperlink ref="A2" location="'host_scan_data'!A1" display="host_scan_data" xr:uid="{00000000-0004-0000-0000-000000000000}"/>
    <hyperlink ref="A3" location="'ScanInfo'!A1" display="ScanInfo" xr:uid="{00000000-0004-0000-0000-000001000000}"/>
    <hyperlink ref="A4" location="'CVSSv3 Score Total'!A1" display="CVSSv3 Score Total" xr:uid="{00000000-0004-0000-0000-000002000000}"/>
    <hyperlink ref="A5" location="'Information'!A1" display="Information" xr:uid="{00000000-0004-0000-0000-000003000000}"/>
    <hyperlink ref="A6" location="'CPE Report Data'!A1" display="CPE Report Data" xr:uid="{00000000-0004-0000-0000-000004000000}"/>
    <hyperlink ref="A7" location="'Device Type'!A1" display="Device Type" xr:uid="{00000000-0004-0000-0000-000005000000}"/>
    <hyperlink ref="A8" location="'HostConfigData'!A1" display="HostConfigData" xr:uid="{00000000-0004-0000-0000-000006000000}"/>
    <hyperlink ref="A9" location="'portScanData'!A1" display="portScanData" xr:uid="{00000000-0004-0000-0000-000007000000}"/>
    <hyperlink ref="A10" location="'Unix Policy'!A1" display="Unix Policy" xr:uid="{00000000-0004-0000-0000-000008000000}"/>
    <hyperlink ref="A11" location="'UserAccountData'!A1" display="UserAccountData" xr:uid="{00000000-0004-0000-0000-000009000000}"/>
    <hyperlink ref="A12" location="'Summary Report Data'!A1" display="Summary Report Data" xr:uid="{00000000-0004-0000-0000-00000A000000}"/>
    <hyperlink ref="A13" location="'PolicySummary Report Data'!A1" display="PolicySummary Report Data" xr:uid="{00000000-0004-0000-0000-00000B000000}"/>
    <hyperlink ref="A14" location="'Vulnerability to IP Summary'!A1" display="Vulnerability to IP Summary" xr:uid="{00000000-0004-0000-0000-00000C000000}"/>
    <hyperlink ref="A15" location="'Authentication Summary Data'!A1" display="Authentication Summary Data" xr:uid="{00000000-0004-0000-0000-00000D000000}"/>
    <hyperlink ref="A16" location="'HostSummary Report Data'!A1" display="HostSummary Report Data" xr:uid="{00000000-0004-0000-0000-00000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T11"/>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2" width="15.6640625" customWidth="1"/>
    <col min="3" max="3" width="25.6640625" customWidth="1"/>
    <col min="4" max="7" width="10.6640625" customWidth="1"/>
    <col min="8" max="8" width="30.6640625" customWidth="1"/>
    <col min="9" max="9" width="60.6640625" customWidth="1"/>
    <col min="10" max="16" width="30.6640625" customWidth="1"/>
    <col min="18" max="18" width="60.6640625" customWidth="1"/>
    <col min="19" max="19" width="15.6640625" customWidth="1"/>
    <col min="20" max="20" width="60.6640625" customWidth="1"/>
  </cols>
  <sheetData>
    <row r="1" spans="1:20" x14ac:dyDescent="0.3">
      <c r="A1" s="2" t="s">
        <v>0</v>
      </c>
    </row>
    <row r="2" spans="1:20" x14ac:dyDescent="0.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row>
    <row r="3" spans="1:20" x14ac:dyDescent="0.3">
      <c r="A3" s="3" t="s">
        <v>21</v>
      </c>
      <c r="B3" s="3" t="s">
        <v>22</v>
      </c>
      <c r="C3" s="3" t="s">
        <v>23</v>
      </c>
      <c r="D3" s="3">
        <v>141118</v>
      </c>
      <c r="E3" s="3" t="s">
        <v>24</v>
      </c>
      <c r="F3" s="3">
        <v>22</v>
      </c>
      <c r="G3" s="3">
        <v>0</v>
      </c>
      <c r="H3" s="3" t="s">
        <v>25</v>
      </c>
      <c r="I3" s="3" t="s">
        <v>26</v>
      </c>
      <c r="J3" s="3" t="s">
        <v>27</v>
      </c>
      <c r="K3" s="3" t="s">
        <v>27</v>
      </c>
      <c r="L3" s="3" t="s">
        <v>27</v>
      </c>
      <c r="M3" s="3" t="s">
        <v>27</v>
      </c>
      <c r="N3" s="3" t="s">
        <v>27</v>
      </c>
      <c r="O3" s="3" t="s">
        <v>27</v>
      </c>
      <c r="P3" s="3" t="s">
        <v>27</v>
      </c>
      <c r="Q3" s="3" t="s">
        <v>27</v>
      </c>
      <c r="R3" s="3" t="s">
        <v>27</v>
      </c>
      <c r="S3" s="3" t="s">
        <v>27</v>
      </c>
      <c r="T3" s="3" t="s">
        <v>28</v>
      </c>
    </row>
    <row r="4" spans="1:20" x14ac:dyDescent="0.3">
      <c r="A4" s="3" t="s">
        <v>21</v>
      </c>
      <c r="B4" s="3" t="s">
        <v>22</v>
      </c>
      <c r="C4" s="3" t="s">
        <v>23</v>
      </c>
      <c r="D4" s="3">
        <v>102094</v>
      </c>
      <c r="E4" s="3" t="s">
        <v>24</v>
      </c>
      <c r="F4" s="3">
        <v>0</v>
      </c>
      <c r="G4" s="3">
        <v>0</v>
      </c>
      <c r="H4" s="3" t="s">
        <v>25</v>
      </c>
      <c r="I4" s="3" t="s">
        <v>29</v>
      </c>
      <c r="J4" s="3" t="s">
        <v>27</v>
      </c>
      <c r="K4" s="3" t="s">
        <v>27</v>
      </c>
      <c r="L4" s="3" t="s">
        <v>27</v>
      </c>
      <c r="M4" s="3" t="s">
        <v>27</v>
      </c>
      <c r="N4" s="3" t="s">
        <v>27</v>
      </c>
      <c r="O4" s="3" t="s">
        <v>27</v>
      </c>
      <c r="P4" s="3" t="s">
        <v>27</v>
      </c>
      <c r="Q4" s="3" t="s">
        <v>27</v>
      </c>
      <c r="R4" s="3" t="s">
        <v>27</v>
      </c>
      <c r="S4" s="3" t="s">
        <v>27</v>
      </c>
      <c r="T4" s="3" t="s">
        <v>30</v>
      </c>
    </row>
    <row r="5" spans="1:20" x14ac:dyDescent="0.3">
      <c r="A5" s="3" t="s">
        <v>21</v>
      </c>
      <c r="B5" s="3" t="s">
        <v>22</v>
      </c>
      <c r="C5" s="3" t="s">
        <v>23</v>
      </c>
      <c r="D5" s="3">
        <v>19506</v>
      </c>
      <c r="E5" s="3" t="s">
        <v>24</v>
      </c>
      <c r="F5" s="3">
        <v>0</v>
      </c>
      <c r="G5" s="3">
        <v>0</v>
      </c>
      <c r="H5" s="3" t="s">
        <v>25</v>
      </c>
      <c r="I5" s="3" t="s">
        <v>31</v>
      </c>
      <c r="J5" s="3" t="s">
        <v>27</v>
      </c>
      <c r="K5" s="3" t="s">
        <v>27</v>
      </c>
      <c r="L5" s="3" t="s">
        <v>27</v>
      </c>
      <c r="M5" s="3" t="s">
        <v>27</v>
      </c>
      <c r="N5" s="3" t="s">
        <v>27</v>
      </c>
      <c r="O5" s="3" t="s">
        <v>27</v>
      </c>
      <c r="P5" s="3" t="s">
        <v>27</v>
      </c>
      <c r="Q5" s="3" t="s">
        <v>27</v>
      </c>
      <c r="R5" s="3" t="s">
        <v>27</v>
      </c>
      <c r="S5" s="3" t="s">
        <v>27</v>
      </c>
      <c r="T5" s="3" t="s">
        <v>32</v>
      </c>
    </row>
    <row r="6" spans="1:20" x14ac:dyDescent="0.3">
      <c r="A6" s="3" t="s">
        <v>21</v>
      </c>
      <c r="B6" s="3" t="s">
        <v>22</v>
      </c>
      <c r="C6" s="3" t="s">
        <v>23</v>
      </c>
      <c r="D6" s="3">
        <v>55472</v>
      </c>
      <c r="E6" s="3" t="s">
        <v>24</v>
      </c>
      <c r="F6" s="3">
        <v>0</v>
      </c>
      <c r="G6" s="3">
        <v>0</v>
      </c>
      <c r="H6" s="3" t="s">
        <v>33</v>
      </c>
      <c r="I6" s="3" t="s">
        <v>34</v>
      </c>
      <c r="J6" s="3" t="s">
        <v>27</v>
      </c>
      <c r="K6" s="3" t="s">
        <v>27</v>
      </c>
      <c r="L6" s="3" t="s">
        <v>27</v>
      </c>
      <c r="M6" s="3" t="s">
        <v>27</v>
      </c>
      <c r="N6" s="3" t="s">
        <v>27</v>
      </c>
      <c r="O6" s="3" t="s">
        <v>27</v>
      </c>
      <c r="P6" s="3" t="s">
        <v>27</v>
      </c>
      <c r="Q6" s="3" t="s">
        <v>27</v>
      </c>
      <c r="R6" s="3" t="s">
        <v>27</v>
      </c>
      <c r="S6" s="3" t="s">
        <v>27</v>
      </c>
      <c r="T6" s="3" t="s">
        <v>35</v>
      </c>
    </row>
    <row r="7" spans="1:20" x14ac:dyDescent="0.3">
      <c r="A7" s="3" t="s">
        <v>21</v>
      </c>
      <c r="B7" s="3" t="s">
        <v>22</v>
      </c>
      <c r="C7" s="3" t="s">
        <v>23</v>
      </c>
      <c r="D7" s="3">
        <v>33276</v>
      </c>
      <c r="E7" s="3" t="s">
        <v>24</v>
      </c>
      <c r="F7" s="3">
        <v>0</v>
      </c>
      <c r="G7" s="3">
        <v>0</v>
      </c>
      <c r="H7" s="3" t="s">
        <v>33</v>
      </c>
      <c r="I7" s="3" t="s">
        <v>36</v>
      </c>
      <c r="J7" s="3" t="s">
        <v>27</v>
      </c>
      <c r="K7" s="3" t="s">
        <v>27</v>
      </c>
      <c r="L7" s="3" t="s">
        <v>27</v>
      </c>
      <c r="M7" s="3" t="s">
        <v>27</v>
      </c>
      <c r="N7" s="3" t="s">
        <v>27</v>
      </c>
      <c r="O7" s="3" t="s">
        <v>27</v>
      </c>
      <c r="P7" s="3" t="s">
        <v>27</v>
      </c>
      <c r="Q7" s="3" t="s">
        <v>27</v>
      </c>
      <c r="R7" s="3" t="s">
        <v>27</v>
      </c>
      <c r="S7" s="3" t="s">
        <v>27</v>
      </c>
      <c r="T7" s="3" t="s">
        <v>37</v>
      </c>
    </row>
    <row r="8" spans="1:20" x14ac:dyDescent="0.3">
      <c r="A8" s="3" t="s">
        <v>21</v>
      </c>
      <c r="B8" s="3" t="s">
        <v>22</v>
      </c>
      <c r="C8" s="3" t="s">
        <v>23</v>
      </c>
      <c r="D8" s="3">
        <v>25203</v>
      </c>
      <c r="E8" s="3" t="s">
        <v>24</v>
      </c>
      <c r="F8" s="3">
        <v>0</v>
      </c>
      <c r="G8" s="3">
        <v>0</v>
      </c>
      <c r="H8" s="3" t="s">
        <v>33</v>
      </c>
      <c r="I8" s="3" t="s">
        <v>38</v>
      </c>
      <c r="J8" s="3" t="s">
        <v>27</v>
      </c>
      <c r="K8" s="3" t="s">
        <v>27</v>
      </c>
      <c r="L8" s="3" t="s">
        <v>27</v>
      </c>
      <c r="M8" s="3" t="s">
        <v>27</v>
      </c>
      <c r="N8" s="3" t="s">
        <v>27</v>
      </c>
      <c r="O8" s="3" t="s">
        <v>27</v>
      </c>
      <c r="P8" s="3" t="s">
        <v>27</v>
      </c>
      <c r="Q8" s="3" t="s">
        <v>27</v>
      </c>
      <c r="R8" s="3" t="s">
        <v>27</v>
      </c>
      <c r="S8" s="3" t="s">
        <v>27</v>
      </c>
      <c r="T8" s="3" t="s">
        <v>39</v>
      </c>
    </row>
    <row r="9" spans="1:20" x14ac:dyDescent="0.3">
      <c r="A9" s="3" t="s">
        <v>21</v>
      </c>
      <c r="B9" s="3" t="s">
        <v>22</v>
      </c>
      <c r="C9" s="3" t="s">
        <v>23</v>
      </c>
      <c r="D9" s="3">
        <v>25202</v>
      </c>
      <c r="E9" s="3" t="s">
        <v>24</v>
      </c>
      <c r="F9" s="3">
        <v>0</v>
      </c>
      <c r="G9" s="3">
        <v>0</v>
      </c>
      <c r="H9" s="3" t="s">
        <v>33</v>
      </c>
      <c r="I9" s="3" t="s">
        <v>40</v>
      </c>
      <c r="J9" s="3" t="s">
        <v>27</v>
      </c>
      <c r="K9" s="3" t="s">
        <v>27</v>
      </c>
      <c r="L9" s="3" t="s">
        <v>27</v>
      </c>
      <c r="M9" s="3" t="s">
        <v>27</v>
      </c>
      <c r="N9" s="3" t="s">
        <v>27</v>
      </c>
      <c r="O9" s="3" t="s">
        <v>27</v>
      </c>
      <c r="P9" s="3" t="s">
        <v>27</v>
      </c>
      <c r="Q9" s="3" t="s">
        <v>27</v>
      </c>
      <c r="R9" s="3" t="s">
        <v>27</v>
      </c>
      <c r="S9" s="3" t="s">
        <v>27</v>
      </c>
      <c r="T9" s="3" t="s">
        <v>41</v>
      </c>
    </row>
    <row r="10" spans="1:20" x14ac:dyDescent="0.3">
      <c r="A10" s="3" t="s">
        <v>21</v>
      </c>
      <c r="B10" s="3" t="s">
        <v>22</v>
      </c>
      <c r="C10" s="3" t="s">
        <v>23</v>
      </c>
      <c r="D10" s="3">
        <v>14272</v>
      </c>
      <c r="E10" s="3" t="s">
        <v>24</v>
      </c>
      <c r="F10" s="3">
        <v>22</v>
      </c>
      <c r="G10" s="3">
        <v>0</v>
      </c>
      <c r="H10" s="3" t="s">
        <v>42</v>
      </c>
      <c r="I10" s="3" t="s">
        <v>43</v>
      </c>
      <c r="J10" s="3" t="s">
        <v>27</v>
      </c>
      <c r="K10" s="3" t="s">
        <v>27</v>
      </c>
      <c r="L10" s="3" t="s">
        <v>27</v>
      </c>
      <c r="M10" s="3" t="s">
        <v>27</v>
      </c>
      <c r="N10" s="3" t="s">
        <v>27</v>
      </c>
      <c r="O10" s="3" t="s">
        <v>27</v>
      </c>
      <c r="P10" s="3" t="s">
        <v>27</v>
      </c>
      <c r="Q10" s="3" t="s">
        <v>27</v>
      </c>
      <c r="R10" s="3" t="s">
        <v>27</v>
      </c>
      <c r="S10" s="3" t="s">
        <v>27</v>
      </c>
      <c r="T10" s="3" t="s">
        <v>44</v>
      </c>
    </row>
    <row r="11" spans="1:20" x14ac:dyDescent="0.3">
      <c r="A11" s="3" t="s">
        <v>21</v>
      </c>
      <c r="B11" s="3" t="s">
        <v>22</v>
      </c>
      <c r="C11" s="3" t="s">
        <v>23</v>
      </c>
      <c r="D11" s="3">
        <v>14272</v>
      </c>
      <c r="E11" s="3" t="s">
        <v>45</v>
      </c>
      <c r="F11" s="3">
        <v>68</v>
      </c>
      <c r="G11" s="3">
        <v>0</v>
      </c>
      <c r="H11" s="3" t="s">
        <v>42</v>
      </c>
      <c r="I11" s="3" t="s">
        <v>43</v>
      </c>
      <c r="J11" s="3" t="s">
        <v>27</v>
      </c>
      <c r="K11" s="3" t="s">
        <v>27</v>
      </c>
      <c r="L11" s="3" t="s">
        <v>27</v>
      </c>
      <c r="M11" s="3" t="s">
        <v>27</v>
      </c>
      <c r="N11" s="3" t="s">
        <v>27</v>
      </c>
      <c r="O11" s="3" t="s">
        <v>27</v>
      </c>
      <c r="P11" s="3" t="s">
        <v>27</v>
      </c>
      <c r="Q11" s="3" t="s">
        <v>27</v>
      </c>
      <c r="R11" s="3" t="s">
        <v>27</v>
      </c>
      <c r="S11" s="3" t="s">
        <v>27</v>
      </c>
      <c r="T11" s="3" t="s">
        <v>46</v>
      </c>
    </row>
  </sheetData>
  <autoFilter ref="A2:T2" xr:uid="{00000000-0009-0000-0000-000001000000}"/>
  <hyperlinks>
    <hyperlink ref="A1" location="'Home Worksheet'!A1" display="'Home Worksheet'!A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3" width="15.6640625" customWidth="1"/>
    <col min="4" max="7" width="25.6640625" customWidth="1"/>
    <col min="8" max="17" width="20.6640625" customWidth="1"/>
  </cols>
  <sheetData>
    <row r="1" spans="1:16" x14ac:dyDescent="0.3">
      <c r="A1" s="2" t="s">
        <v>0</v>
      </c>
    </row>
    <row r="2" spans="1:16" x14ac:dyDescent="0.3">
      <c r="A2" s="1" t="s">
        <v>1</v>
      </c>
      <c r="B2" s="1" t="s">
        <v>2</v>
      </c>
      <c r="C2" s="1" t="s">
        <v>3</v>
      </c>
      <c r="D2" s="1" t="s">
        <v>47</v>
      </c>
      <c r="E2" s="1" t="s">
        <v>48</v>
      </c>
      <c r="F2" s="1" t="s">
        <v>49</v>
      </c>
      <c r="G2" s="1" t="s">
        <v>50</v>
      </c>
      <c r="H2" s="1" t="s">
        <v>51</v>
      </c>
      <c r="I2" s="1" t="s">
        <v>52</v>
      </c>
      <c r="J2" s="1" t="s">
        <v>53</v>
      </c>
      <c r="K2" s="1" t="s">
        <v>54</v>
      </c>
      <c r="L2" s="1" t="s">
        <v>55</v>
      </c>
      <c r="M2" s="1" t="s">
        <v>56</v>
      </c>
      <c r="N2" s="1" t="s">
        <v>57</v>
      </c>
      <c r="O2" s="1" t="s">
        <v>58</v>
      </c>
      <c r="P2" s="1" t="s">
        <v>59</v>
      </c>
    </row>
    <row r="3" spans="1:16" x14ac:dyDescent="0.3">
      <c r="A3" s="3" t="s">
        <v>21</v>
      </c>
      <c r="B3" s="3" t="s">
        <v>22</v>
      </c>
      <c r="C3" s="3" t="s">
        <v>22</v>
      </c>
      <c r="D3" s="3" t="s">
        <v>60</v>
      </c>
      <c r="E3" s="3" t="s">
        <v>61</v>
      </c>
      <c r="F3" s="3" t="s">
        <v>62</v>
      </c>
      <c r="G3" s="3" t="s">
        <v>63</v>
      </c>
      <c r="H3" s="3" t="s">
        <v>64</v>
      </c>
      <c r="I3" s="3" t="s">
        <v>65</v>
      </c>
      <c r="J3" s="3" t="s">
        <v>66</v>
      </c>
      <c r="K3" s="3" t="s">
        <v>67</v>
      </c>
      <c r="L3" s="3" t="s">
        <v>68</v>
      </c>
      <c r="M3" s="3" t="s">
        <v>69</v>
      </c>
      <c r="N3" s="3" t="s">
        <v>69</v>
      </c>
      <c r="O3" s="3" t="s">
        <v>70</v>
      </c>
      <c r="P3" s="3" t="s">
        <v>65</v>
      </c>
    </row>
  </sheetData>
  <autoFilter ref="A2:Q2" xr:uid="{00000000-0009-0000-0000-000002000000}"/>
  <hyperlinks>
    <hyperlink ref="A1" location="'Home Worksheet'!A1" display="'Home Worksheet'!A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
  <sheetViews>
    <sheetView workbookViewId="0">
      <pane xSplit="4" ySplit="5" topLeftCell="E6" activePane="bottomRight" state="frozen"/>
      <selection pane="topRight" activeCell="E1" sqref="E1"/>
      <selection pane="bottomLeft" activeCell="A6" sqref="A6"/>
      <selection pane="bottomRight"/>
    </sheetView>
  </sheetViews>
  <sheetFormatPr defaultRowHeight="14.4" x14ac:dyDescent="0.3"/>
  <cols>
    <col min="1" max="10" width="20.6640625" customWidth="1"/>
  </cols>
  <sheetData>
    <row r="1" spans="1:10" x14ac:dyDescent="0.3">
      <c r="A1" s="2" t="s">
        <v>0</v>
      </c>
    </row>
    <row r="2" spans="1:10" x14ac:dyDescent="0.3">
      <c r="B2" s="1" t="s">
        <v>81</v>
      </c>
      <c r="C2" s="1" t="s">
        <v>82</v>
      </c>
      <c r="D2" s="1" t="s">
        <v>83</v>
      </c>
    </row>
    <row r="3" spans="1:10" x14ac:dyDescent="0.3">
      <c r="A3" s="1" t="s">
        <v>84</v>
      </c>
      <c r="B3" s="3">
        <v>1</v>
      </c>
      <c r="C3" s="3">
        <v>1</v>
      </c>
      <c r="D3" s="3">
        <v>1</v>
      </c>
    </row>
    <row r="5" spans="1:10" x14ac:dyDescent="0.3">
      <c r="A5" s="1" t="s">
        <v>71</v>
      </c>
      <c r="B5" s="1" t="s">
        <v>72</v>
      </c>
      <c r="C5" s="1" t="s">
        <v>73</v>
      </c>
      <c r="D5" s="1" t="s">
        <v>74</v>
      </c>
      <c r="E5" s="1" t="s">
        <v>75</v>
      </c>
      <c r="F5" s="1" t="s">
        <v>76</v>
      </c>
      <c r="G5" s="1" t="s">
        <v>77</v>
      </c>
      <c r="H5" s="1" t="s">
        <v>78</v>
      </c>
      <c r="I5" s="1" t="s">
        <v>79</v>
      </c>
      <c r="J5" s="1" t="s">
        <v>80</v>
      </c>
    </row>
  </sheetData>
  <autoFilter ref="A5:T5" xr:uid="{00000000-0009-0000-0000-000003000000}"/>
  <hyperlinks>
    <hyperlink ref="A1" location="'Home Worksheet'!A1" display="'Home Worksheet'!A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Z9"/>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2" width="25.6640625" customWidth="1"/>
    <col min="3" max="3" width="10.6640625" customWidth="1"/>
    <col min="4" max="4" width="35.6640625" customWidth="1"/>
    <col min="5" max="8" width="10.6640625" customWidth="1"/>
    <col min="9" max="18" width="35.6640625" customWidth="1"/>
    <col min="19" max="22" width="60.6640625" customWidth="1"/>
    <col min="23" max="26" width="20.6640625" customWidth="1"/>
  </cols>
  <sheetData>
    <row r="1" spans="1:26" x14ac:dyDescent="0.3">
      <c r="A1" s="2" t="s">
        <v>0</v>
      </c>
    </row>
    <row r="2" spans="1:26" x14ac:dyDescent="0.3">
      <c r="A2" s="1" t="s">
        <v>1</v>
      </c>
      <c r="B2" s="1" t="s">
        <v>85</v>
      </c>
      <c r="C2" s="1" t="s">
        <v>86</v>
      </c>
      <c r="D2" s="1" t="s">
        <v>87</v>
      </c>
      <c r="E2" s="1" t="s">
        <v>88</v>
      </c>
      <c r="F2" s="1" t="s">
        <v>89</v>
      </c>
      <c r="G2" s="1" t="s">
        <v>90</v>
      </c>
      <c r="H2" s="1" t="s">
        <v>91</v>
      </c>
      <c r="I2" s="1" t="s">
        <v>10</v>
      </c>
      <c r="J2" s="1" t="s">
        <v>11</v>
      </c>
      <c r="K2" s="1" t="s">
        <v>12</v>
      </c>
      <c r="L2" s="1" t="s">
        <v>92</v>
      </c>
      <c r="M2" s="1" t="s">
        <v>93</v>
      </c>
      <c r="N2" s="1" t="s">
        <v>13</v>
      </c>
      <c r="O2" s="1" t="s">
        <v>14</v>
      </c>
      <c r="P2" s="1" t="s">
        <v>15</v>
      </c>
      <c r="Q2" s="1" t="s">
        <v>16</v>
      </c>
      <c r="R2" s="1" t="s">
        <v>17</v>
      </c>
      <c r="S2" s="1" t="s">
        <v>18</v>
      </c>
      <c r="T2" s="1" t="s">
        <v>19</v>
      </c>
      <c r="U2" s="1" t="s">
        <v>92</v>
      </c>
      <c r="V2" s="1" t="s">
        <v>94</v>
      </c>
      <c r="W2" s="1" t="s">
        <v>95</v>
      </c>
      <c r="X2" s="1" t="s">
        <v>96</v>
      </c>
      <c r="Y2" s="1" t="s">
        <v>97</v>
      </c>
      <c r="Z2" s="1" t="s">
        <v>98</v>
      </c>
    </row>
    <row r="3" spans="1:26" x14ac:dyDescent="0.3">
      <c r="A3" s="3" t="s">
        <v>21</v>
      </c>
      <c r="B3" s="3" t="s">
        <v>25</v>
      </c>
      <c r="C3" s="3">
        <v>141118</v>
      </c>
      <c r="D3" s="3" t="s">
        <v>26</v>
      </c>
      <c r="E3" s="3">
        <v>1</v>
      </c>
      <c r="F3" s="3"/>
      <c r="G3" s="3"/>
      <c r="H3" s="3"/>
      <c r="I3" s="3" t="s">
        <v>27</v>
      </c>
      <c r="J3" s="3" t="s">
        <v>27</v>
      </c>
      <c r="K3" s="3" t="s">
        <v>27</v>
      </c>
      <c r="L3" s="3" t="s">
        <v>99</v>
      </c>
      <c r="M3" s="3" t="s">
        <v>100</v>
      </c>
      <c r="N3" s="3" t="s">
        <v>27</v>
      </c>
      <c r="O3" s="3" t="s">
        <v>27</v>
      </c>
      <c r="P3" s="3" t="s">
        <v>27</v>
      </c>
      <c r="Q3" s="3" t="s">
        <v>27</v>
      </c>
      <c r="R3" s="3" t="s">
        <v>27</v>
      </c>
      <c r="S3" s="3" t="s">
        <v>27</v>
      </c>
      <c r="T3" s="3" t="s">
        <v>27</v>
      </c>
      <c r="U3" s="3" t="s">
        <v>99</v>
      </c>
      <c r="V3" s="3" t="s">
        <v>101</v>
      </c>
      <c r="W3" s="3" t="s">
        <v>102</v>
      </c>
      <c r="X3" s="3" t="s">
        <v>103</v>
      </c>
      <c r="Y3" s="3"/>
      <c r="Z3" s="3"/>
    </row>
    <row r="4" spans="1:26" x14ac:dyDescent="0.3">
      <c r="A4" s="3" t="s">
        <v>21</v>
      </c>
      <c r="B4" s="3" t="s">
        <v>25</v>
      </c>
      <c r="C4" s="3">
        <v>102094</v>
      </c>
      <c r="D4" s="3" t="s">
        <v>29</v>
      </c>
      <c r="E4" s="3">
        <v>1</v>
      </c>
      <c r="F4" s="3"/>
      <c r="G4" s="3"/>
      <c r="H4" s="3" t="s">
        <v>104</v>
      </c>
      <c r="I4" s="3" t="s">
        <v>27</v>
      </c>
      <c r="J4" s="3" t="s">
        <v>27</v>
      </c>
      <c r="K4" s="3" t="s">
        <v>27</v>
      </c>
      <c r="L4" s="3" t="s">
        <v>99</v>
      </c>
      <c r="M4" s="3" t="s">
        <v>105</v>
      </c>
      <c r="N4" s="3" t="s">
        <v>27</v>
      </c>
      <c r="O4" s="3" t="s">
        <v>27</v>
      </c>
      <c r="P4" s="3" t="s">
        <v>27</v>
      </c>
      <c r="Q4" s="3" t="s">
        <v>27</v>
      </c>
      <c r="R4" s="3" t="s">
        <v>27</v>
      </c>
      <c r="S4" s="3" t="s">
        <v>27</v>
      </c>
      <c r="T4" s="3" t="s">
        <v>27</v>
      </c>
      <c r="U4" s="3" t="s">
        <v>99</v>
      </c>
      <c r="V4" s="3" t="s">
        <v>106</v>
      </c>
      <c r="W4" s="3" t="s">
        <v>107</v>
      </c>
      <c r="X4" s="3" t="s">
        <v>108</v>
      </c>
      <c r="Y4" s="3"/>
      <c r="Z4" s="3"/>
    </row>
    <row r="5" spans="1:26" x14ac:dyDescent="0.3">
      <c r="A5" s="3" t="s">
        <v>21</v>
      </c>
      <c r="B5" s="3" t="s">
        <v>25</v>
      </c>
      <c r="C5" s="3">
        <v>19506</v>
      </c>
      <c r="D5" s="3" t="s">
        <v>31</v>
      </c>
      <c r="E5" s="3">
        <v>1</v>
      </c>
      <c r="F5" s="3"/>
      <c r="G5" s="3"/>
      <c r="H5" s="3"/>
      <c r="I5" s="3" t="s">
        <v>27</v>
      </c>
      <c r="J5" s="3" t="s">
        <v>27</v>
      </c>
      <c r="K5" s="3" t="s">
        <v>27</v>
      </c>
      <c r="L5" s="3" t="s">
        <v>99</v>
      </c>
      <c r="M5" s="3" t="s">
        <v>109</v>
      </c>
      <c r="N5" s="3" t="s">
        <v>27</v>
      </c>
      <c r="O5" s="3" t="s">
        <v>27</v>
      </c>
      <c r="P5" s="3" t="s">
        <v>27</v>
      </c>
      <c r="Q5" s="3" t="s">
        <v>27</v>
      </c>
      <c r="R5" s="3" t="s">
        <v>27</v>
      </c>
      <c r="S5" s="3" t="s">
        <v>27</v>
      </c>
      <c r="T5" s="3" t="s">
        <v>27</v>
      </c>
      <c r="U5" s="3" t="s">
        <v>99</v>
      </c>
      <c r="V5" s="3" t="s">
        <v>110</v>
      </c>
      <c r="W5" s="3" t="s">
        <v>111</v>
      </c>
      <c r="X5" s="3" t="s">
        <v>112</v>
      </c>
      <c r="Y5" s="3"/>
      <c r="Z5" s="3"/>
    </row>
    <row r="6" spans="1:26" x14ac:dyDescent="0.3">
      <c r="A6" s="3" t="s">
        <v>21</v>
      </c>
      <c r="B6" s="3" t="s">
        <v>33</v>
      </c>
      <c r="C6" s="3">
        <v>55472</v>
      </c>
      <c r="D6" s="3" t="s">
        <v>34</v>
      </c>
      <c r="E6" s="3">
        <v>1</v>
      </c>
      <c r="F6" s="3"/>
      <c r="G6" s="3"/>
      <c r="H6" s="3"/>
      <c r="I6" s="3" t="s">
        <v>27</v>
      </c>
      <c r="J6" s="3" t="s">
        <v>27</v>
      </c>
      <c r="K6" s="3" t="s">
        <v>27</v>
      </c>
      <c r="L6" s="3" t="s">
        <v>99</v>
      </c>
      <c r="M6" s="3" t="s">
        <v>113</v>
      </c>
      <c r="N6" s="3" t="s">
        <v>27</v>
      </c>
      <c r="O6" s="3" t="s">
        <v>27</v>
      </c>
      <c r="P6" s="3" t="s">
        <v>27</v>
      </c>
      <c r="Q6" s="3" t="s">
        <v>27</v>
      </c>
      <c r="R6" s="3" t="s">
        <v>27</v>
      </c>
      <c r="S6" s="3" t="s">
        <v>27</v>
      </c>
      <c r="T6" s="3" t="s">
        <v>27</v>
      </c>
      <c r="U6" s="3" t="s">
        <v>99</v>
      </c>
      <c r="V6" s="3" t="s">
        <v>114</v>
      </c>
      <c r="W6" s="3" t="s">
        <v>115</v>
      </c>
      <c r="X6" s="3" t="s">
        <v>116</v>
      </c>
      <c r="Y6" s="3"/>
      <c r="Z6" s="3"/>
    </row>
    <row r="7" spans="1:26" x14ac:dyDescent="0.3">
      <c r="A7" s="3" t="s">
        <v>21</v>
      </c>
      <c r="B7" s="3" t="s">
        <v>33</v>
      </c>
      <c r="C7" s="3">
        <v>33276</v>
      </c>
      <c r="D7" s="3" t="s">
        <v>36</v>
      </c>
      <c r="E7" s="3">
        <v>1</v>
      </c>
      <c r="F7" s="3"/>
      <c r="G7" s="3"/>
      <c r="H7" s="3"/>
      <c r="I7" s="3" t="s">
        <v>27</v>
      </c>
      <c r="J7" s="3" t="s">
        <v>27</v>
      </c>
      <c r="K7" s="3" t="s">
        <v>27</v>
      </c>
      <c r="L7" s="3" t="s">
        <v>117</v>
      </c>
      <c r="M7" s="3" t="s">
        <v>118</v>
      </c>
      <c r="N7" s="3" t="s">
        <v>27</v>
      </c>
      <c r="O7" s="3" t="s">
        <v>27</v>
      </c>
      <c r="P7" s="3" t="s">
        <v>27</v>
      </c>
      <c r="Q7" s="3" t="s">
        <v>27</v>
      </c>
      <c r="R7" s="3" t="s">
        <v>27</v>
      </c>
      <c r="S7" s="3" t="s">
        <v>27</v>
      </c>
      <c r="T7" s="3" t="s">
        <v>27</v>
      </c>
      <c r="U7" s="3" t="s">
        <v>117</v>
      </c>
      <c r="V7" s="3" t="s">
        <v>119</v>
      </c>
      <c r="W7" s="3" t="s">
        <v>120</v>
      </c>
      <c r="X7" s="3" t="s">
        <v>121</v>
      </c>
      <c r="Y7" s="3"/>
      <c r="Z7" s="3"/>
    </row>
    <row r="8" spans="1:26" x14ac:dyDescent="0.3">
      <c r="A8" s="3" t="s">
        <v>21</v>
      </c>
      <c r="B8" s="3" t="s">
        <v>33</v>
      </c>
      <c r="C8" s="3">
        <v>25203</v>
      </c>
      <c r="D8" s="3" t="s">
        <v>38</v>
      </c>
      <c r="E8" s="3">
        <v>1</v>
      </c>
      <c r="F8" s="3"/>
      <c r="G8" s="3"/>
      <c r="H8" s="3"/>
      <c r="I8" s="3" t="s">
        <v>27</v>
      </c>
      <c r="J8" s="3" t="s">
        <v>27</v>
      </c>
      <c r="K8" s="3" t="s">
        <v>27</v>
      </c>
      <c r="L8" s="3" t="s">
        <v>122</v>
      </c>
      <c r="M8" s="3" t="s">
        <v>123</v>
      </c>
      <c r="N8" s="3" t="s">
        <v>27</v>
      </c>
      <c r="O8" s="3" t="s">
        <v>27</v>
      </c>
      <c r="P8" s="3" t="s">
        <v>27</v>
      </c>
      <c r="Q8" s="3" t="s">
        <v>27</v>
      </c>
      <c r="R8" s="3" t="s">
        <v>27</v>
      </c>
      <c r="S8" s="3" t="s">
        <v>27</v>
      </c>
      <c r="T8" s="3" t="s">
        <v>27</v>
      </c>
      <c r="U8" s="3" t="s">
        <v>122</v>
      </c>
      <c r="V8" s="3" t="s">
        <v>124</v>
      </c>
      <c r="W8" s="3" t="s">
        <v>125</v>
      </c>
      <c r="X8" s="3" t="s">
        <v>126</v>
      </c>
      <c r="Y8" s="3"/>
      <c r="Z8" s="3"/>
    </row>
    <row r="9" spans="1:26" x14ac:dyDescent="0.3">
      <c r="A9" s="3" t="s">
        <v>21</v>
      </c>
      <c r="B9" s="3" t="s">
        <v>33</v>
      </c>
      <c r="C9" s="3">
        <v>25202</v>
      </c>
      <c r="D9" s="3" t="s">
        <v>40</v>
      </c>
      <c r="E9" s="3">
        <v>1</v>
      </c>
      <c r="F9" s="3"/>
      <c r="G9" s="3"/>
      <c r="H9" s="3"/>
      <c r="I9" s="3" t="s">
        <v>27</v>
      </c>
      <c r="J9" s="3" t="s">
        <v>27</v>
      </c>
      <c r="K9" s="3" t="s">
        <v>27</v>
      </c>
      <c r="L9" s="3" t="s">
        <v>127</v>
      </c>
      <c r="M9" s="3" t="s">
        <v>128</v>
      </c>
      <c r="N9" s="3" t="s">
        <v>27</v>
      </c>
      <c r="O9" s="3" t="s">
        <v>27</v>
      </c>
      <c r="P9" s="3" t="s">
        <v>27</v>
      </c>
      <c r="Q9" s="3" t="s">
        <v>27</v>
      </c>
      <c r="R9" s="3" t="s">
        <v>27</v>
      </c>
      <c r="S9" s="3" t="s">
        <v>27</v>
      </c>
      <c r="T9" s="3" t="s">
        <v>27</v>
      </c>
      <c r="U9" s="3" t="s">
        <v>127</v>
      </c>
      <c r="V9" s="3" t="s">
        <v>129</v>
      </c>
      <c r="W9" s="3" t="s">
        <v>125</v>
      </c>
      <c r="X9" s="3" t="s">
        <v>126</v>
      </c>
      <c r="Y9" s="3"/>
      <c r="Z9" s="3"/>
    </row>
  </sheetData>
  <autoFilter ref="A2:Z2" xr:uid="{00000000-0009-0000-0000-000004000000}"/>
  <hyperlinks>
    <hyperlink ref="A1" location="'Home Worksheet'!A1" display="'Home Worksheet'!A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2" width="15.6640625" customWidth="1"/>
    <col min="3" max="3" width="25.6640625" customWidth="1"/>
    <col min="4" max="7" width="15.6640625" customWidth="1"/>
    <col min="8" max="9" width="35.6640625" customWidth="1"/>
    <col min="10" max="26" width="20.6640625" customWidth="1"/>
  </cols>
  <sheetData>
    <row r="1" spans="1:10" x14ac:dyDescent="0.3">
      <c r="A1" s="2" t="s">
        <v>0</v>
      </c>
    </row>
    <row r="2" spans="1:10" x14ac:dyDescent="0.3">
      <c r="A2" s="1" t="s">
        <v>1</v>
      </c>
      <c r="B2" s="1" t="s">
        <v>2</v>
      </c>
      <c r="C2" s="1" t="s">
        <v>3</v>
      </c>
      <c r="D2" s="1" t="s">
        <v>130</v>
      </c>
      <c r="E2" s="1" t="s">
        <v>131</v>
      </c>
      <c r="F2" s="1" t="s">
        <v>8</v>
      </c>
      <c r="G2" s="1" t="s">
        <v>4</v>
      </c>
      <c r="H2" s="1" t="s">
        <v>9</v>
      </c>
      <c r="I2" s="1" t="s">
        <v>132</v>
      </c>
      <c r="J2" s="1" t="s">
        <v>133</v>
      </c>
    </row>
  </sheetData>
  <autoFilter ref="A2:Z2" xr:uid="{00000000-0009-0000-0000-000005000000}"/>
  <hyperlinks>
    <hyperlink ref="A1" location="'Home Worksheet'!A1" display="'Home Worksheet'!A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2" width="15.6640625" customWidth="1"/>
    <col min="3" max="3" width="25.6640625" customWidth="1"/>
    <col min="4" max="7" width="15.6640625" customWidth="1"/>
    <col min="8" max="9" width="35.6640625" customWidth="1"/>
    <col min="10" max="26" width="20.6640625" customWidth="1"/>
  </cols>
  <sheetData>
    <row r="1" spans="1:7" x14ac:dyDescent="0.3">
      <c r="A1" s="2" t="s">
        <v>0</v>
      </c>
    </row>
    <row r="2" spans="1:7" x14ac:dyDescent="0.3">
      <c r="A2" s="1" t="s">
        <v>1</v>
      </c>
      <c r="B2" s="1" t="s">
        <v>2</v>
      </c>
      <c r="C2" s="1" t="s">
        <v>3</v>
      </c>
      <c r="D2" s="1" t="s">
        <v>130</v>
      </c>
      <c r="E2" s="1" t="s">
        <v>131</v>
      </c>
      <c r="F2" s="1" t="s">
        <v>134</v>
      </c>
      <c r="G2" s="1" t="s">
        <v>135</v>
      </c>
    </row>
  </sheetData>
  <autoFilter ref="A2:Z2" xr:uid="{00000000-0009-0000-0000-000006000000}"/>
  <hyperlinks>
    <hyperlink ref="A1" location="'Home Worksheet'!A1" display="'Home Worksheet'!A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 width="20.6640625" customWidth="1"/>
    <col min="2" max="2" width="15.6640625" customWidth="1"/>
    <col min="3" max="3" width="25.6640625" customWidth="1"/>
    <col min="4" max="8" width="15.6640625" customWidth="1"/>
    <col min="9" max="26" width="20.6640625" customWidth="1"/>
  </cols>
  <sheetData>
    <row r="1" spans="1:22" x14ac:dyDescent="0.3">
      <c r="A1" s="2" t="s">
        <v>0</v>
      </c>
    </row>
    <row r="2" spans="1:22" x14ac:dyDescent="0.3">
      <c r="A2" s="1" t="s">
        <v>1</v>
      </c>
      <c r="B2" s="1" t="s">
        <v>2</v>
      </c>
      <c r="C2" s="1" t="s">
        <v>3</v>
      </c>
      <c r="D2" s="1" t="s">
        <v>130</v>
      </c>
      <c r="E2" s="1" t="s">
        <v>136</v>
      </c>
      <c r="F2" s="1" t="s">
        <v>137</v>
      </c>
      <c r="G2" s="1" t="s">
        <v>138</v>
      </c>
      <c r="H2" s="1" t="s">
        <v>139</v>
      </c>
      <c r="I2" s="1" t="s">
        <v>140</v>
      </c>
      <c r="J2" s="1" t="s">
        <v>141</v>
      </c>
      <c r="K2" s="1" t="s">
        <v>142</v>
      </c>
      <c r="L2" s="1" t="s">
        <v>143</v>
      </c>
      <c r="M2" s="1" t="s">
        <v>144</v>
      </c>
      <c r="N2" s="1" t="s">
        <v>145</v>
      </c>
      <c r="O2" s="1" t="s">
        <v>146</v>
      </c>
      <c r="P2" s="1" t="s">
        <v>147</v>
      </c>
      <c r="Q2" s="1" t="s">
        <v>148</v>
      </c>
      <c r="R2" s="1" t="s">
        <v>149</v>
      </c>
      <c r="S2" s="1" t="s">
        <v>150</v>
      </c>
      <c r="T2" s="1" t="s">
        <v>151</v>
      </c>
      <c r="U2" s="1" t="s">
        <v>152</v>
      </c>
      <c r="V2" s="1" t="s">
        <v>153</v>
      </c>
    </row>
    <row r="3" spans="1:22" x14ac:dyDescent="0.3">
      <c r="A3" s="3" t="s">
        <v>21</v>
      </c>
      <c r="B3" s="3" t="s">
        <v>22</v>
      </c>
      <c r="C3" s="3" t="s">
        <v>23</v>
      </c>
      <c r="D3" s="3"/>
      <c r="E3" s="3" t="s">
        <v>60</v>
      </c>
      <c r="F3" s="3" t="s">
        <v>154</v>
      </c>
      <c r="G3" s="3" t="s">
        <v>155</v>
      </c>
      <c r="H3" s="3" t="s">
        <v>22</v>
      </c>
      <c r="I3" s="3">
        <v>10</v>
      </c>
      <c r="J3" s="3">
        <v>0</v>
      </c>
      <c r="K3" s="3">
        <v>0</v>
      </c>
      <c r="L3" s="3">
        <v>0</v>
      </c>
      <c r="M3" s="3">
        <v>0</v>
      </c>
      <c r="N3" s="3"/>
      <c r="O3" s="3"/>
      <c r="P3" s="3"/>
      <c r="Q3" s="3"/>
      <c r="R3" s="3"/>
      <c r="S3" s="3"/>
      <c r="T3" s="3"/>
      <c r="U3" s="3"/>
      <c r="V3" s="3"/>
    </row>
  </sheetData>
  <autoFilter ref="A2:Z2" xr:uid="{00000000-0009-0000-0000-000007000000}"/>
  <hyperlinks>
    <hyperlink ref="A1" location="'Home Worksheet'!A1" display="'Home Worksheet'!A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26" width="20.6640625" customWidth="1"/>
  </cols>
  <sheetData>
    <row r="1" spans="1:11" x14ac:dyDescent="0.3">
      <c r="A1" s="2" t="s">
        <v>0</v>
      </c>
    </row>
    <row r="2" spans="1:11" x14ac:dyDescent="0.3">
      <c r="A2" s="1" t="s">
        <v>1</v>
      </c>
      <c r="B2" s="1" t="s">
        <v>2</v>
      </c>
      <c r="C2" s="1" t="s">
        <v>3</v>
      </c>
      <c r="D2" s="1" t="s">
        <v>130</v>
      </c>
      <c r="E2" s="1" t="s">
        <v>136</v>
      </c>
      <c r="F2" s="1" t="s">
        <v>9</v>
      </c>
      <c r="G2" s="1" t="s">
        <v>5</v>
      </c>
      <c r="H2" s="1" t="s">
        <v>6</v>
      </c>
      <c r="I2" s="1" t="s">
        <v>156</v>
      </c>
      <c r="J2" s="1" t="s">
        <v>20</v>
      </c>
      <c r="K2" s="1" t="s">
        <v>157</v>
      </c>
    </row>
    <row r="3" spans="1:11" x14ac:dyDescent="0.3">
      <c r="A3" s="3" t="s">
        <v>21</v>
      </c>
      <c r="B3" s="3" t="s">
        <v>22</v>
      </c>
      <c r="C3" s="3" t="s">
        <v>23</v>
      </c>
      <c r="D3" s="3"/>
      <c r="E3" s="3" t="s">
        <v>60</v>
      </c>
      <c r="F3" s="3" t="s">
        <v>43</v>
      </c>
      <c r="G3" s="3" t="s">
        <v>24</v>
      </c>
      <c r="H3" s="3">
        <v>22</v>
      </c>
      <c r="I3" s="3" t="s">
        <v>154</v>
      </c>
      <c r="J3" s="3" t="s">
        <v>44</v>
      </c>
      <c r="K3" s="3" t="s">
        <v>42</v>
      </c>
    </row>
    <row r="4" spans="1:11" x14ac:dyDescent="0.3">
      <c r="A4" s="3" t="s">
        <v>21</v>
      </c>
      <c r="B4" s="3" t="s">
        <v>22</v>
      </c>
      <c r="C4" s="3" t="s">
        <v>23</v>
      </c>
      <c r="D4" s="3"/>
      <c r="E4" s="3" t="s">
        <v>60</v>
      </c>
      <c r="F4" s="3" t="s">
        <v>43</v>
      </c>
      <c r="G4" s="3" t="s">
        <v>45</v>
      </c>
      <c r="H4" s="3">
        <v>68</v>
      </c>
      <c r="I4" s="3" t="s">
        <v>158</v>
      </c>
      <c r="J4" s="3" t="s">
        <v>46</v>
      </c>
      <c r="K4" s="3" t="s">
        <v>42</v>
      </c>
    </row>
  </sheetData>
  <autoFilter ref="A2:K2" xr:uid="{00000000-0009-0000-0000-000008000000}"/>
  <hyperlinks>
    <hyperlink ref="A1" location="'Home Worksheet'!A1" display="'Home Worksheet'!A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35F6-F4DB-4C17-A893-5B918BB418B6}">
  <dimension ref="A3:B8"/>
  <sheetViews>
    <sheetView tabSelected="1" workbookViewId="0">
      <selection activeCell="A4" sqref="A4:B7"/>
    </sheetView>
  </sheetViews>
  <sheetFormatPr defaultRowHeight="14.4" x14ac:dyDescent="0.3"/>
  <cols>
    <col min="1" max="1" width="12.77734375" bestFit="1" customWidth="1"/>
    <col min="2" max="2" width="14.33203125" bestFit="1" customWidth="1"/>
  </cols>
  <sheetData>
    <row r="3" spans="1:2" x14ac:dyDescent="0.3">
      <c r="A3" s="5" t="s">
        <v>1617</v>
      </c>
      <c r="B3" t="s">
        <v>1619</v>
      </c>
    </row>
    <row r="4" spans="1:2" x14ac:dyDescent="0.3">
      <c r="A4" s="6" t="s">
        <v>600</v>
      </c>
      <c r="B4" s="7">
        <v>5</v>
      </c>
    </row>
    <row r="5" spans="1:2" x14ac:dyDescent="0.3">
      <c r="A5" s="6" t="s">
        <v>170</v>
      </c>
      <c r="B5" s="7">
        <v>92</v>
      </c>
    </row>
    <row r="6" spans="1:2" x14ac:dyDescent="0.3">
      <c r="A6" s="6" t="s">
        <v>669</v>
      </c>
      <c r="B6" s="7">
        <v>196</v>
      </c>
    </row>
    <row r="7" spans="1:2" x14ac:dyDescent="0.3">
      <c r="A7" s="6" t="s">
        <v>593</v>
      </c>
      <c r="B7" s="7">
        <v>10</v>
      </c>
    </row>
    <row r="8" spans="1:2" x14ac:dyDescent="0.3">
      <c r="A8" s="6" t="s">
        <v>1618</v>
      </c>
      <c r="B8" s="7">
        <v>303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04"/>
  <sheetViews>
    <sheetView workbookViewId="0">
      <pane xSplit="2" ySplit="1" topLeftCell="C2" activePane="bottomRight" state="frozen"/>
      <selection pane="topRight" activeCell="C1" sqref="C1"/>
      <selection pane="bottomLeft" activeCell="A3" sqref="A3"/>
      <selection pane="bottomRight" activeCell="G1" sqref="G1:H1048576"/>
    </sheetView>
  </sheetViews>
  <sheetFormatPr defaultRowHeight="14.4" x14ac:dyDescent="0.3"/>
  <cols>
    <col min="1" max="14" width="20.6640625" customWidth="1"/>
  </cols>
  <sheetData>
    <row r="1" spans="1:14" x14ac:dyDescent="0.3">
      <c r="A1" s="1" t="s">
        <v>1</v>
      </c>
      <c r="B1" s="1" t="s">
        <v>2</v>
      </c>
      <c r="C1" s="1" t="s">
        <v>3</v>
      </c>
      <c r="D1" s="1" t="s">
        <v>159</v>
      </c>
      <c r="E1" s="1" t="s">
        <v>7</v>
      </c>
      <c r="F1" s="1" t="s">
        <v>160</v>
      </c>
      <c r="G1" s="1" t="s">
        <v>161</v>
      </c>
      <c r="H1" s="1" t="s">
        <v>162</v>
      </c>
      <c r="I1" s="1" t="s">
        <v>163</v>
      </c>
      <c r="J1" s="1" t="s">
        <v>164</v>
      </c>
      <c r="K1" s="1" t="s">
        <v>165</v>
      </c>
      <c r="L1" s="1" t="s">
        <v>92</v>
      </c>
      <c r="M1" s="1" t="s">
        <v>166</v>
      </c>
      <c r="N1" s="1" t="s">
        <v>167</v>
      </c>
    </row>
    <row r="2" spans="1:14" x14ac:dyDescent="0.3">
      <c r="A2" s="3" t="s">
        <v>21</v>
      </c>
      <c r="B2" s="3" t="s">
        <v>22</v>
      </c>
      <c r="C2" s="3" t="s">
        <v>23</v>
      </c>
      <c r="D2" s="3">
        <v>21157</v>
      </c>
      <c r="E2" s="3">
        <v>0</v>
      </c>
      <c r="F2" s="3" t="s">
        <v>333</v>
      </c>
      <c r="G2" s="3" t="s">
        <v>1504</v>
      </c>
      <c r="H2" s="3" t="s">
        <v>669</v>
      </c>
      <c r="I2" s="3" t="s">
        <v>1505</v>
      </c>
      <c r="J2" s="3" t="s">
        <v>336</v>
      </c>
      <c r="K2" s="3" t="s">
        <v>1506</v>
      </c>
      <c r="L2" s="3" t="s">
        <v>1507</v>
      </c>
      <c r="M2" s="3" t="s">
        <v>174</v>
      </c>
      <c r="N2" s="3" t="s">
        <v>532</v>
      </c>
    </row>
    <row r="3" spans="1:14" x14ac:dyDescent="0.3">
      <c r="A3" s="3" t="s">
        <v>21</v>
      </c>
      <c r="B3" s="3" t="s">
        <v>22</v>
      </c>
      <c r="C3" s="3" t="s">
        <v>23</v>
      </c>
      <c r="D3" s="3">
        <v>21157</v>
      </c>
      <c r="E3" s="3">
        <v>0</v>
      </c>
      <c r="F3" s="3" t="s">
        <v>333</v>
      </c>
      <c r="G3" s="3" t="s">
        <v>1500</v>
      </c>
      <c r="H3" s="3" t="s">
        <v>669</v>
      </c>
      <c r="I3" s="3" t="s">
        <v>1501</v>
      </c>
      <c r="J3" s="3" t="s">
        <v>336</v>
      </c>
      <c r="K3" s="3" t="s">
        <v>1502</v>
      </c>
      <c r="L3" s="3" t="s">
        <v>1503</v>
      </c>
      <c r="M3" s="3" t="s">
        <v>174</v>
      </c>
      <c r="N3" s="3" t="s">
        <v>532</v>
      </c>
    </row>
    <row r="4" spans="1:14" x14ac:dyDescent="0.3">
      <c r="A4" s="3" t="s">
        <v>21</v>
      </c>
      <c r="B4" s="3" t="s">
        <v>22</v>
      </c>
      <c r="C4" s="3" t="s">
        <v>23</v>
      </c>
      <c r="D4" s="3">
        <v>21157</v>
      </c>
      <c r="E4" s="3">
        <v>0</v>
      </c>
      <c r="F4" s="3" t="s">
        <v>333</v>
      </c>
      <c r="G4" s="3" t="s">
        <v>1496</v>
      </c>
      <c r="H4" s="3" t="s">
        <v>669</v>
      </c>
      <c r="I4" s="3" t="s">
        <v>1497</v>
      </c>
      <c r="J4" s="3" t="s">
        <v>336</v>
      </c>
      <c r="K4" s="3" t="s">
        <v>1498</v>
      </c>
      <c r="L4" s="3" t="s">
        <v>1499</v>
      </c>
      <c r="M4" s="3" t="s">
        <v>174</v>
      </c>
      <c r="N4" s="3" t="s">
        <v>532</v>
      </c>
    </row>
    <row r="5" spans="1:14" x14ac:dyDescent="0.3">
      <c r="A5" s="3" t="s">
        <v>21</v>
      </c>
      <c r="B5" s="3" t="s">
        <v>22</v>
      </c>
      <c r="C5" s="3" t="s">
        <v>23</v>
      </c>
      <c r="D5" s="3">
        <v>21157</v>
      </c>
      <c r="E5" s="3">
        <v>0</v>
      </c>
      <c r="F5" s="3" t="s">
        <v>333</v>
      </c>
      <c r="G5" s="3" t="s">
        <v>1492</v>
      </c>
      <c r="H5" s="3" t="s">
        <v>669</v>
      </c>
      <c r="I5" s="3" t="s">
        <v>1493</v>
      </c>
      <c r="J5" s="3" t="s">
        <v>336</v>
      </c>
      <c r="K5" s="3" t="s">
        <v>1494</v>
      </c>
      <c r="L5" s="3" t="s">
        <v>1495</v>
      </c>
      <c r="M5" s="3" t="s">
        <v>174</v>
      </c>
      <c r="N5" s="3" t="s">
        <v>532</v>
      </c>
    </row>
    <row r="6" spans="1:14" x14ac:dyDescent="0.3">
      <c r="A6" s="3" t="s">
        <v>21</v>
      </c>
      <c r="B6" s="3" t="s">
        <v>22</v>
      </c>
      <c r="C6" s="3" t="s">
        <v>23</v>
      </c>
      <c r="D6" s="3">
        <v>21157</v>
      </c>
      <c r="E6" s="3">
        <v>0</v>
      </c>
      <c r="F6" s="3" t="s">
        <v>333</v>
      </c>
      <c r="G6" s="3" t="s">
        <v>1488</v>
      </c>
      <c r="H6" s="3" t="s">
        <v>669</v>
      </c>
      <c r="I6" s="3" t="s">
        <v>1489</v>
      </c>
      <c r="J6" s="3" t="s">
        <v>336</v>
      </c>
      <c r="K6" s="3" t="s">
        <v>1490</v>
      </c>
      <c r="L6" s="3" t="s">
        <v>1491</v>
      </c>
      <c r="M6" s="3" t="s">
        <v>174</v>
      </c>
      <c r="N6" s="3" t="s">
        <v>532</v>
      </c>
    </row>
    <row r="7" spans="1:14" x14ac:dyDescent="0.3">
      <c r="A7" s="3" t="s">
        <v>21</v>
      </c>
      <c r="B7" s="3" t="s">
        <v>22</v>
      </c>
      <c r="C7" s="3" t="s">
        <v>23</v>
      </c>
      <c r="D7" s="3">
        <v>21157</v>
      </c>
      <c r="E7" s="3">
        <v>0</v>
      </c>
      <c r="F7" s="3" t="s">
        <v>168</v>
      </c>
      <c r="G7" s="3" t="s">
        <v>773</v>
      </c>
      <c r="H7" s="3" t="s">
        <v>669</v>
      </c>
      <c r="I7" s="3" t="s">
        <v>774</v>
      </c>
      <c r="J7" s="3" t="s">
        <v>336</v>
      </c>
      <c r="K7" s="3" t="s">
        <v>775</v>
      </c>
      <c r="L7" s="3" t="s">
        <v>776</v>
      </c>
      <c r="M7" s="3" t="s">
        <v>174</v>
      </c>
      <c r="N7" s="3" t="s">
        <v>717</v>
      </c>
    </row>
    <row r="8" spans="1:14" x14ac:dyDescent="0.3">
      <c r="A8" s="3" t="s">
        <v>21</v>
      </c>
      <c r="B8" s="3" t="s">
        <v>22</v>
      </c>
      <c r="C8" s="3" t="s">
        <v>23</v>
      </c>
      <c r="D8" s="3">
        <v>21157</v>
      </c>
      <c r="E8" s="3">
        <v>0</v>
      </c>
      <c r="F8" s="3" t="s">
        <v>168</v>
      </c>
      <c r="G8" s="3" t="s">
        <v>769</v>
      </c>
      <c r="H8" s="3" t="s">
        <v>669</v>
      </c>
      <c r="I8" s="3" t="s">
        <v>770</v>
      </c>
      <c r="J8" s="3" t="s">
        <v>336</v>
      </c>
      <c r="K8" s="3" t="s">
        <v>771</v>
      </c>
      <c r="L8" s="3" t="s">
        <v>772</v>
      </c>
      <c r="M8" s="3" t="s">
        <v>174</v>
      </c>
      <c r="N8" s="3" t="s">
        <v>717</v>
      </c>
    </row>
    <row r="9" spans="1:14" x14ac:dyDescent="0.3">
      <c r="A9" s="3" t="s">
        <v>21</v>
      </c>
      <c r="B9" s="3" t="s">
        <v>22</v>
      </c>
      <c r="C9" s="3" t="s">
        <v>23</v>
      </c>
      <c r="D9" s="3">
        <v>21157</v>
      </c>
      <c r="E9" s="3">
        <v>0</v>
      </c>
      <c r="F9" s="3" t="s">
        <v>333</v>
      </c>
      <c r="G9" s="3" t="s">
        <v>1483</v>
      </c>
      <c r="H9" s="3" t="s">
        <v>669</v>
      </c>
      <c r="I9" s="3" t="s">
        <v>1484</v>
      </c>
      <c r="J9" s="3" t="s">
        <v>336</v>
      </c>
      <c r="K9" s="3" t="s">
        <v>1485</v>
      </c>
      <c r="L9" s="3" t="s">
        <v>1486</v>
      </c>
      <c r="M9" s="3" t="s">
        <v>174</v>
      </c>
      <c r="N9" s="3" t="s">
        <v>1487</v>
      </c>
    </row>
    <row r="10" spans="1:14" x14ac:dyDescent="0.3">
      <c r="A10" s="3" t="s">
        <v>21</v>
      </c>
      <c r="B10" s="3" t="s">
        <v>22</v>
      </c>
      <c r="C10" s="3" t="s">
        <v>23</v>
      </c>
      <c r="D10" s="3">
        <v>21157</v>
      </c>
      <c r="E10" s="3">
        <v>0</v>
      </c>
      <c r="F10" s="3" t="s">
        <v>333</v>
      </c>
      <c r="G10" s="3" t="s">
        <v>1478</v>
      </c>
      <c r="H10" s="3" t="s">
        <v>669</v>
      </c>
      <c r="I10" s="3" t="s">
        <v>1479</v>
      </c>
      <c r="J10" s="3" t="s">
        <v>1480</v>
      </c>
      <c r="K10" s="3" t="s">
        <v>1481</v>
      </c>
      <c r="L10" s="3" t="s">
        <v>1482</v>
      </c>
      <c r="M10" s="3" t="s">
        <v>174</v>
      </c>
      <c r="N10" s="3" t="s">
        <v>532</v>
      </c>
    </row>
    <row r="11" spans="1:14" x14ac:dyDescent="0.3">
      <c r="A11" s="3" t="s">
        <v>21</v>
      </c>
      <c r="B11" s="3" t="s">
        <v>22</v>
      </c>
      <c r="C11" s="3" t="s">
        <v>23</v>
      </c>
      <c r="D11" s="3">
        <v>21157</v>
      </c>
      <c r="E11" s="3">
        <v>0</v>
      </c>
      <c r="F11" s="3" t="s">
        <v>333</v>
      </c>
      <c r="G11" s="3" t="s">
        <v>1473</v>
      </c>
      <c r="H11" s="3" t="s">
        <v>669</v>
      </c>
      <c r="I11" s="3" t="s">
        <v>1474</v>
      </c>
      <c r="J11" s="3" t="s">
        <v>1475</v>
      </c>
      <c r="K11" s="3" t="s">
        <v>1476</v>
      </c>
      <c r="L11" s="3" t="s">
        <v>1477</v>
      </c>
      <c r="M11" s="3" t="s">
        <v>174</v>
      </c>
      <c r="N11" s="3" t="s">
        <v>532</v>
      </c>
    </row>
    <row r="12" spans="1:14" x14ac:dyDescent="0.3">
      <c r="A12" s="3" t="s">
        <v>21</v>
      </c>
      <c r="B12" s="3" t="s">
        <v>22</v>
      </c>
      <c r="C12" s="3" t="s">
        <v>23</v>
      </c>
      <c r="D12" s="3">
        <v>21157</v>
      </c>
      <c r="E12" s="3">
        <v>0</v>
      </c>
      <c r="F12" s="3" t="s">
        <v>333</v>
      </c>
      <c r="G12" s="3" t="s">
        <v>1468</v>
      </c>
      <c r="H12" s="3" t="s">
        <v>669</v>
      </c>
      <c r="I12" s="3" t="s">
        <v>1469</v>
      </c>
      <c r="J12" s="3" t="s">
        <v>1470</v>
      </c>
      <c r="K12" s="3" t="s">
        <v>1471</v>
      </c>
      <c r="L12" s="3" t="s">
        <v>1472</v>
      </c>
      <c r="M12" s="3" t="s">
        <v>174</v>
      </c>
      <c r="N12" s="3" t="s">
        <v>355</v>
      </c>
    </row>
    <row r="13" spans="1:14" x14ac:dyDescent="0.3">
      <c r="A13" s="3" t="s">
        <v>21</v>
      </c>
      <c r="B13" s="3" t="s">
        <v>22</v>
      </c>
      <c r="C13" s="3" t="s">
        <v>23</v>
      </c>
      <c r="D13" s="3">
        <v>21157</v>
      </c>
      <c r="E13" s="3">
        <v>0</v>
      </c>
      <c r="F13" s="3" t="s">
        <v>333</v>
      </c>
      <c r="G13" s="3" t="s">
        <v>1463</v>
      </c>
      <c r="H13" s="3" t="s">
        <v>669</v>
      </c>
      <c r="I13" s="3" t="s">
        <v>1464</v>
      </c>
      <c r="J13" s="3" t="s">
        <v>1465</v>
      </c>
      <c r="K13" s="3" t="s">
        <v>1466</v>
      </c>
      <c r="L13" s="3" t="s">
        <v>1467</v>
      </c>
      <c r="M13" s="3" t="s">
        <v>174</v>
      </c>
      <c r="N13" s="3" t="s">
        <v>355</v>
      </c>
    </row>
    <row r="14" spans="1:14" x14ac:dyDescent="0.3">
      <c r="A14" s="3" t="s">
        <v>21</v>
      </c>
      <c r="B14" s="3" t="s">
        <v>22</v>
      </c>
      <c r="C14" s="3" t="s">
        <v>23</v>
      </c>
      <c r="D14" s="3">
        <v>21157</v>
      </c>
      <c r="E14" s="3">
        <v>0</v>
      </c>
      <c r="F14" s="3" t="s">
        <v>333</v>
      </c>
      <c r="G14" s="3" t="s">
        <v>1458</v>
      </c>
      <c r="H14" s="3" t="s">
        <v>669</v>
      </c>
      <c r="I14" s="3" t="s">
        <v>1459</v>
      </c>
      <c r="J14" s="3" t="s">
        <v>1460</v>
      </c>
      <c r="K14" s="3" t="s">
        <v>1461</v>
      </c>
      <c r="L14" s="3" t="s">
        <v>1462</v>
      </c>
      <c r="M14" s="3" t="s">
        <v>174</v>
      </c>
      <c r="N14" s="3" t="s">
        <v>532</v>
      </c>
    </row>
    <row r="15" spans="1:14" x14ac:dyDescent="0.3">
      <c r="A15" s="3" t="s">
        <v>21</v>
      </c>
      <c r="B15" s="3" t="s">
        <v>22</v>
      </c>
      <c r="C15" s="3" t="s">
        <v>23</v>
      </c>
      <c r="D15" s="3">
        <v>21157</v>
      </c>
      <c r="E15" s="3">
        <v>0</v>
      </c>
      <c r="F15" s="3" t="s">
        <v>333</v>
      </c>
      <c r="G15" s="3" t="s">
        <v>1453</v>
      </c>
      <c r="H15" s="3" t="s">
        <v>669</v>
      </c>
      <c r="I15" s="3" t="s">
        <v>1454</v>
      </c>
      <c r="J15" s="3" t="s">
        <v>1455</v>
      </c>
      <c r="K15" s="3" t="s">
        <v>1456</v>
      </c>
      <c r="L15" s="3" t="s">
        <v>1457</v>
      </c>
      <c r="M15" s="3" t="s">
        <v>174</v>
      </c>
      <c r="N15" s="3" t="s">
        <v>355</v>
      </c>
    </row>
    <row r="16" spans="1:14" x14ac:dyDescent="0.3">
      <c r="A16" s="3" t="s">
        <v>21</v>
      </c>
      <c r="B16" s="3" t="s">
        <v>22</v>
      </c>
      <c r="C16" s="3" t="s">
        <v>23</v>
      </c>
      <c r="D16" s="3">
        <v>21157</v>
      </c>
      <c r="E16" s="3">
        <v>0</v>
      </c>
      <c r="F16" s="3" t="s">
        <v>333</v>
      </c>
      <c r="G16" s="3" t="s">
        <v>1448</v>
      </c>
      <c r="H16" s="3" t="s">
        <v>669</v>
      </c>
      <c r="I16" s="3" t="s">
        <v>1449</v>
      </c>
      <c r="J16" s="3" t="s">
        <v>1450</v>
      </c>
      <c r="K16" s="3" t="s">
        <v>1451</v>
      </c>
      <c r="L16" s="3" t="s">
        <v>1452</v>
      </c>
      <c r="M16" s="3" t="s">
        <v>174</v>
      </c>
      <c r="N16" s="3" t="s">
        <v>355</v>
      </c>
    </row>
    <row r="17" spans="1:14" x14ac:dyDescent="0.3">
      <c r="A17" s="3" t="s">
        <v>21</v>
      </c>
      <c r="B17" s="3" t="s">
        <v>22</v>
      </c>
      <c r="C17" s="3" t="s">
        <v>23</v>
      </c>
      <c r="D17" s="3">
        <v>21157</v>
      </c>
      <c r="E17" s="3">
        <v>0</v>
      </c>
      <c r="F17" s="3" t="s">
        <v>333</v>
      </c>
      <c r="G17" s="3" t="s">
        <v>1443</v>
      </c>
      <c r="H17" s="3" t="s">
        <v>669</v>
      </c>
      <c r="I17" s="3" t="s">
        <v>1444</v>
      </c>
      <c r="J17" s="3" t="s">
        <v>1445</v>
      </c>
      <c r="K17" s="3" t="s">
        <v>1446</v>
      </c>
      <c r="L17" s="3" t="s">
        <v>1447</v>
      </c>
      <c r="M17" s="3" t="s">
        <v>174</v>
      </c>
      <c r="N17" s="3" t="s">
        <v>355</v>
      </c>
    </row>
    <row r="18" spans="1:14" x14ac:dyDescent="0.3">
      <c r="A18" s="3" t="s">
        <v>21</v>
      </c>
      <c r="B18" s="3" t="s">
        <v>22</v>
      </c>
      <c r="C18" s="3" t="s">
        <v>23</v>
      </c>
      <c r="D18" s="3">
        <v>21157</v>
      </c>
      <c r="E18" s="3">
        <v>0</v>
      </c>
      <c r="F18" s="3" t="s">
        <v>168</v>
      </c>
      <c r="G18" s="3" t="s">
        <v>764</v>
      </c>
      <c r="H18" s="3" t="s">
        <v>669</v>
      </c>
      <c r="I18" s="3" t="s">
        <v>765</v>
      </c>
      <c r="J18" s="3" t="s">
        <v>766</v>
      </c>
      <c r="K18" s="3" t="s">
        <v>767</v>
      </c>
      <c r="L18" s="3" t="s">
        <v>768</v>
      </c>
      <c r="M18" s="3" t="s">
        <v>174</v>
      </c>
      <c r="N18" s="3" t="s">
        <v>175</v>
      </c>
    </row>
    <row r="19" spans="1:14" x14ac:dyDescent="0.3">
      <c r="A19" s="3" t="s">
        <v>21</v>
      </c>
      <c r="B19" s="3" t="s">
        <v>22</v>
      </c>
      <c r="C19" s="3" t="s">
        <v>23</v>
      </c>
      <c r="D19" s="3">
        <v>21157</v>
      </c>
      <c r="E19" s="3">
        <v>0</v>
      </c>
      <c r="F19" s="3" t="s">
        <v>333</v>
      </c>
      <c r="G19" s="3" t="s">
        <v>1438</v>
      </c>
      <c r="H19" s="3" t="s">
        <v>669</v>
      </c>
      <c r="I19" s="3" t="s">
        <v>1439</v>
      </c>
      <c r="J19" s="3" t="s">
        <v>1440</v>
      </c>
      <c r="K19" s="3" t="s">
        <v>1441</v>
      </c>
      <c r="L19" s="3" t="s">
        <v>1442</v>
      </c>
      <c r="M19" s="3" t="s">
        <v>174</v>
      </c>
      <c r="N19" s="3" t="s">
        <v>355</v>
      </c>
    </row>
    <row r="20" spans="1:14" x14ac:dyDescent="0.3">
      <c r="A20" s="3" t="s">
        <v>21</v>
      </c>
      <c r="B20" s="3" t="s">
        <v>22</v>
      </c>
      <c r="C20" s="3" t="s">
        <v>23</v>
      </c>
      <c r="D20" s="3">
        <v>21157</v>
      </c>
      <c r="E20" s="3">
        <v>0</v>
      </c>
      <c r="F20" s="3" t="s">
        <v>333</v>
      </c>
      <c r="G20" s="3" t="s">
        <v>1433</v>
      </c>
      <c r="H20" s="3" t="s">
        <v>669</v>
      </c>
      <c r="I20" s="3" t="s">
        <v>1434</v>
      </c>
      <c r="J20" s="3" t="s">
        <v>1435</v>
      </c>
      <c r="K20" s="3" t="s">
        <v>1436</v>
      </c>
      <c r="L20" s="3" t="s">
        <v>1437</v>
      </c>
      <c r="M20" s="3" t="s">
        <v>174</v>
      </c>
      <c r="N20" s="3" t="s">
        <v>355</v>
      </c>
    </row>
    <row r="21" spans="1:14" x14ac:dyDescent="0.3">
      <c r="A21" s="3" t="s">
        <v>21</v>
      </c>
      <c r="B21" s="3" t="s">
        <v>22</v>
      </c>
      <c r="C21" s="3" t="s">
        <v>23</v>
      </c>
      <c r="D21" s="3">
        <v>21157</v>
      </c>
      <c r="E21" s="3">
        <v>0</v>
      </c>
      <c r="F21" s="3" t="s">
        <v>168</v>
      </c>
      <c r="G21" s="3" t="s">
        <v>759</v>
      </c>
      <c r="H21" s="3" t="s">
        <v>669</v>
      </c>
      <c r="I21" s="3" t="s">
        <v>760</v>
      </c>
      <c r="J21" s="3" t="s">
        <v>761</v>
      </c>
      <c r="K21" s="3" t="s">
        <v>762</v>
      </c>
      <c r="L21" s="3" t="s">
        <v>763</v>
      </c>
      <c r="M21" s="3" t="s">
        <v>174</v>
      </c>
      <c r="N21" s="3" t="s">
        <v>175</v>
      </c>
    </row>
    <row r="22" spans="1:14" x14ac:dyDescent="0.3">
      <c r="A22" s="3" t="s">
        <v>21</v>
      </c>
      <c r="B22" s="3" t="s">
        <v>22</v>
      </c>
      <c r="C22" s="3" t="s">
        <v>23</v>
      </c>
      <c r="D22" s="3">
        <v>21157</v>
      </c>
      <c r="E22" s="3">
        <v>0</v>
      </c>
      <c r="F22" s="3" t="s">
        <v>333</v>
      </c>
      <c r="G22" s="3" t="s">
        <v>1428</v>
      </c>
      <c r="H22" s="3" t="s">
        <v>669</v>
      </c>
      <c r="I22" s="3" t="s">
        <v>1429</v>
      </c>
      <c r="J22" s="3" t="s">
        <v>1430</v>
      </c>
      <c r="K22" s="3" t="s">
        <v>1431</v>
      </c>
      <c r="L22" s="3" t="s">
        <v>1432</v>
      </c>
      <c r="M22" s="3" t="s">
        <v>174</v>
      </c>
      <c r="N22" s="3" t="s">
        <v>355</v>
      </c>
    </row>
    <row r="23" spans="1:14" x14ac:dyDescent="0.3">
      <c r="A23" s="3" t="s">
        <v>21</v>
      </c>
      <c r="B23" s="3" t="s">
        <v>22</v>
      </c>
      <c r="C23" s="3" t="s">
        <v>23</v>
      </c>
      <c r="D23" s="3">
        <v>21157</v>
      </c>
      <c r="E23" s="3">
        <v>0</v>
      </c>
      <c r="F23" s="3" t="s">
        <v>333</v>
      </c>
      <c r="G23" s="3" t="s">
        <v>1423</v>
      </c>
      <c r="H23" s="3" t="s">
        <v>669</v>
      </c>
      <c r="I23" s="3" t="s">
        <v>1424</v>
      </c>
      <c r="J23" s="3" t="s">
        <v>1425</v>
      </c>
      <c r="K23" s="3" t="s">
        <v>1426</v>
      </c>
      <c r="L23" s="3" t="s">
        <v>1427</v>
      </c>
      <c r="M23" s="3" t="s">
        <v>174</v>
      </c>
      <c r="N23" s="3" t="s">
        <v>355</v>
      </c>
    </row>
    <row r="24" spans="1:14" x14ac:dyDescent="0.3">
      <c r="A24" s="3" t="s">
        <v>21</v>
      </c>
      <c r="B24" s="3" t="s">
        <v>22</v>
      </c>
      <c r="C24" s="3" t="s">
        <v>23</v>
      </c>
      <c r="D24" s="3">
        <v>21157</v>
      </c>
      <c r="E24" s="3">
        <v>3</v>
      </c>
      <c r="F24" s="3" t="s">
        <v>168</v>
      </c>
      <c r="G24" s="3" t="s">
        <v>328</v>
      </c>
      <c r="H24" s="3" t="s">
        <v>170</v>
      </c>
      <c r="I24" s="3" t="s">
        <v>329</v>
      </c>
      <c r="J24" s="3" t="s">
        <v>330</v>
      </c>
      <c r="K24" s="3" t="s">
        <v>331</v>
      </c>
      <c r="L24" s="3" t="s">
        <v>332</v>
      </c>
      <c r="M24" s="3" t="s">
        <v>174</v>
      </c>
      <c r="N24" s="3" t="s">
        <v>175</v>
      </c>
    </row>
    <row r="25" spans="1:14" x14ac:dyDescent="0.3">
      <c r="A25" s="3" t="s">
        <v>21</v>
      </c>
      <c r="B25" s="3" t="s">
        <v>22</v>
      </c>
      <c r="C25" s="3" t="s">
        <v>23</v>
      </c>
      <c r="D25" s="3">
        <v>21157</v>
      </c>
      <c r="E25" s="3">
        <v>0</v>
      </c>
      <c r="F25" s="3" t="s">
        <v>333</v>
      </c>
      <c r="G25" s="3" t="s">
        <v>1419</v>
      </c>
      <c r="H25" s="3" t="s">
        <v>669</v>
      </c>
      <c r="I25" s="3" t="s">
        <v>1387</v>
      </c>
      <c r="J25" s="3" t="s">
        <v>1420</v>
      </c>
      <c r="K25" s="3" t="s">
        <v>1421</v>
      </c>
      <c r="L25" s="3" t="s">
        <v>1422</v>
      </c>
      <c r="M25" s="3" t="s">
        <v>174</v>
      </c>
      <c r="N25" s="3" t="s">
        <v>355</v>
      </c>
    </row>
    <row r="26" spans="1:14" x14ac:dyDescent="0.3">
      <c r="A26" s="3" t="s">
        <v>21</v>
      </c>
      <c r="B26" s="3" t="s">
        <v>22</v>
      </c>
      <c r="C26" s="3" t="s">
        <v>23</v>
      </c>
      <c r="D26" s="3">
        <v>21157</v>
      </c>
      <c r="E26" s="3">
        <v>0</v>
      </c>
      <c r="F26" s="3" t="s">
        <v>333</v>
      </c>
      <c r="G26" s="3" t="s">
        <v>1415</v>
      </c>
      <c r="H26" s="3" t="s">
        <v>669</v>
      </c>
      <c r="I26" s="3" t="s">
        <v>1387</v>
      </c>
      <c r="J26" s="3" t="s">
        <v>1416</v>
      </c>
      <c r="K26" s="3" t="s">
        <v>1417</v>
      </c>
      <c r="L26" s="3" t="s">
        <v>1418</v>
      </c>
      <c r="M26" s="3" t="s">
        <v>174</v>
      </c>
      <c r="N26" s="3" t="s">
        <v>355</v>
      </c>
    </row>
    <row r="27" spans="1:14" x14ac:dyDescent="0.3">
      <c r="A27" s="3" t="s">
        <v>21</v>
      </c>
      <c r="B27" s="3" t="s">
        <v>22</v>
      </c>
      <c r="C27" s="3" t="s">
        <v>23</v>
      </c>
      <c r="D27" s="3">
        <v>21157</v>
      </c>
      <c r="E27" s="3">
        <v>0</v>
      </c>
      <c r="F27" s="3" t="s">
        <v>333</v>
      </c>
      <c r="G27" s="3" t="s">
        <v>1411</v>
      </c>
      <c r="H27" s="3" t="s">
        <v>669</v>
      </c>
      <c r="I27" s="3" t="s">
        <v>1387</v>
      </c>
      <c r="J27" s="3" t="s">
        <v>1412</v>
      </c>
      <c r="K27" s="3" t="s">
        <v>1413</v>
      </c>
      <c r="L27" s="3" t="s">
        <v>1414</v>
      </c>
      <c r="M27" s="3" t="s">
        <v>174</v>
      </c>
      <c r="N27" s="3" t="s">
        <v>355</v>
      </c>
    </row>
    <row r="28" spans="1:14" x14ac:dyDescent="0.3">
      <c r="A28" s="3" t="s">
        <v>21</v>
      </c>
      <c r="B28" s="3" t="s">
        <v>22</v>
      </c>
      <c r="C28" s="3" t="s">
        <v>23</v>
      </c>
      <c r="D28" s="3">
        <v>21157</v>
      </c>
      <c r="E28" s="3">
        <v>3</v>
      </c>
      <c r="F28" s="3" t="s">
        <v>168</v>
      </c>
      <c r="G28" s="3" t="s">
        <v>323</v>
      </c>
      <c r="H28" s="3" t="s">
        <v>170</v>
      </c>
      <c r="I28" s="3" t="s">
        <v>324</v>
      </c>
      <c r="J28" s="3" t="s">
        <v>325</v>
      </c>
      <c r="K28" s="3" t="s">
        <v>326</v>
      </c>
      <c r="L28" s="3" t="s">
        <v>327</v>
      </c>
      <c r="M28" s="3" t="s">
        <v>174</v>
      </c>
      <c r="N28" s="3" t="s">
        <v>295</v>
      </c>
    </row>
    <row r="29" spans="1:14" x14ac:dyDescent="0.3">
      <c r="A29" s="3" t="s">
        <v>21</v>
      </c>
      <c r="B29" s="3" t="s">
        <v>22</v>
      </c>
      <c r="C29" s="3" t="s">
        <v>23</v>
      </c>
      <c r="D29" s="3">
        <v>21157</v>
      </c>
      <c r="E29" s="3">
        <v>0</v>
      </c>
      <c r="F29" s="3" t="s">
        <v>333</v>
      </c>
      <c r="G29" s="3" t="s">
        <v>1407</v>
      </c>
      <c r="H29" s="3" t="s">
        <v>669</v>
      </c>
      <c r="I29" s="3" t="s">
        <v>1387</v>
      </c>
      <c r="J29" s="3" t="s">
        <v>1408</v>
      </c>
      <c r="K29" s="3" t="s">
        <v>1409</v>
      </c>
      <c r="L29" s="3" t="s">
        <v>1410</v>
      </c>
      <c r="M29" s="3" t="s">
        <v>174</v>
      </c>
      <c r="N29" s="3" t="s">
        <v>355</v>
      </c>
    </row>
    <row r="30" spans="1:14" x14ac:dyDescent="0.3">
      <c r="A30" s="3" t="s">
        <v>21</v>
      </c>
      <c r="B30" s="3" t="s">
        <v>22</v>
      </c>
      <c r="C30" s="3" t="s">
        <v>23</v>
      </c>
      <c r="D30" s="3">
        <v>21157</v>
      </c>
      <c r="E30" s="3">
        <v>0</v>
      </c>
      <c r="F30" s="3" t="s">
        <v>333</v>
      </c>
      <c r="G30" s="3" t="s">
        <v>1403</v>
      </c>
      <c r="H30" s="3" t="s">
        <v>669</v>
      </c>
      <c r="I30" s="3" t="s">
        <v>1387</v>
      </c>
      <c r="J30" s="3" t="s">
        <v>1404</v>
      </c>
      <c r="K30" s="3" t="s">
        <v>1405</v>
      </c>
      <c r="L30" s="3" t="s">
        <v>1406</v>
      </c>
      <c r="M30" s="3" t="s">
        <v>174</v>
      </c>
      <c r="N30" s="3" t="s">
        <v>355</v>
      </c>
    </row>
    <row r="31" spans="1:14" x14ac:dyDescent="0.3">
      <c r="A31" s="3" t="s">
        <v>21</v>
      </c>
      <c r="B31" s="3" t="s">
        <v>22</v>
      </c>
      <c r="C31" s="3" t="s">
        <v>23</v>
      </c>
      <c r="D31" s="3">
        <v>21157</v>
      </c>
      <c r="E31" s="3">
        <v>0</v>
      </c>
      <c r="F31" s="3" t="s">
        <v>333</v>
      </c>
      <c r="G31" s="3" t="s">
        <v>1399</v>
      </c>
      <c r="H31" s="3" t="s">
        <v>669</v>
      </c>
      <c r="I31" s="3" t="s">
        <v>1387</v>
      </c>
      <c r="J31" s="3" t="s">
        <v>1400</v>
      </c>
      <c r="K31" s="3" t="s">
        <v>1401</v>
      </c>
      <c r="L31" s="3" t="s">
        <v>1402</v>
      </c>
      <c r="M31" s="3" t="s">
        <v>174</v>
      </c>
      <c r="N31" s="3" t="s">
        <v>355</v>
      </c>
    </row>
    <row r="32" spans="1:14" x14ac:dyDescent="0.3">
      <c r="A32" s="3" t="s">
        <v>21</v>
      </c>
      <c r="B32" s="3" t="s">
        <v>22</v>
      </c>
      <c r="C32" s="3" t="s">
        <v>23</v>
      </c>
      <c r="D32" s="3">
        <v>21157</v>
      </c>
      <c r="E32" s="3">
        <v>3</v>
      </c>
      <c r="F32" s="3" t="s">
        <v>168</v>
      </c>
      <c r="G32" s="3" t="s">
        <v>318</v>
      </c>
      <c r="H32" s="3" t="s">
        <v>170</v>
      </c>
      <c r="I32" s="3" t="s">
        <v>319</v>
      </c>
      <c r="J32" s="3" t="s">
        <v>320</v>
      </c>
      <c r="K32" s="3" t="s">
        <v>321</v>
      </c>
      <c r="L32" s="3" t="s">
        <v>322</v>
      </c>
      <c r="M32" s="3" t="s">
        <v>174</v>
      </c>
      <c r="N32" s="3" t="s">
        <v>295</v>
      </c>
    </row>
    <row r="33" spans="1:14" x14ac:dyDescent="0.3">
      <c r="A33" s="3" t="s">
        <v>21</v>
      </c>
      <c r="B33" s="3" t="s">
        <v>22</v>
      </c>
      <c r="C33" s="3" t="s">
        <v>23</v>
      </c>
      <c r="D33" s="3">
        <v>21157</v>
      </c>
      <c r="E33" s="3">
        <v>0</v>
      </c>
      <c r="F33" s="3" t="s">
        <v>333</v>
      </c>
      <c r="G33" s="3" t="s">
        <v>1395</v>
      </c>
      <c r="H33" s="3" t="s">
        <v>669</v>
      </c>
      <c r="I33" s="3" t="s">
        <v>1387</v>
      </c>
      <c r="J33" s="3" t="s">
        <v>1396</v>
      </c>
      <c r="K33" s="3" t="s">
        <v>1397</v>
      </c>
      <c r="L33" s="3" t="s">
        <v>1398</v>
      </c>
      <c r="M33" s="3" t="s">
        <v>174</v>
      </c>
      <c r="N33" s="3" t="s">
        <v>355</v>
      </c>
    </row>
    <row r="34" spans="1:14" x14ac:dyDescent="0.3">
      <c r="A34" s="3" t="s">
        <v>21</v>
      </c>
      <c r="B34" s="3" t="s">
        <v>22</v>
      </c>
      <c r="C34" s="3" t="s">
        <v>23</v>
      </c>
      <c r="D34" s="3">
        <v>21157</v>
      </c>
      <c r="E34" s="3">
        <v>0</v>
      </c>
      <c r="F34" s="3" t="s">
        <v>333</v>
      </c>
      <c r="G34" s="3" t="s">
        <v>1391</v>
      </c>
      <c r="H34" s="3" t="s">
        <v>669</v>
      </c>
      <c r="I34" s="3" t="s">
        <v>1387</v>
      </c>
      <c r="J34" s="3" t="s">
        <v>1392</v>
      </c>
      <c r="K34" s="3" t="s">
        <v>1393</v>
      </c>
      <c r="L34" s="3" t="s">
        <v>1394</v>
      </c>
      <c r="M34" s="3" t="s">
        <v>174</v>
      </c>
      <c r="N34" s="3" t="s">
        <v>355</v>
      </c>
    </row>
    <row r="35" spans="1:14" x14ac:dyDescent="0.3">
      <c r="A35" s="3" t="s">
        <v>21</v>
      </c>
      <c r="B35" s="3" t="s">
        <v>22</v>
      </c>
      <c r="C35" s="3" t="s">
        <v>23</v>
      </c>
      <c r="D35" s="3">
        <v>21157</v>
      </c>
      <c r="E35" s="3">
        <v>0</v>
      </c>
      <c r="F35" s="3" t="s">
        <v>333</v>
      </c>
      <c r="G35" s="3" t="s">
        <v>1386</v>
      </c>
      <c r="H35" s="3" t="s">
        <v>669</v>
      </c>
      <c r="I35" s="3" t="s">
        <v>1387</v>
      </c>
      <c r="J35" s="3" t="s">
        <v>1388</v>
      </c>
      <c r="K35" s="3" t="s">
        <v>1389</v>
      </c>
      <c r="L35" s="3" t="s">
        <v>1390</v>
      </c>
      <c r="M35" s="3" t="s">
        <v>174</v>
      </c>
      <c r="N35" s="3" t="s">
        <v>355</v>
      </c>
    </row>
    <row r="36" spans="1:14" x14ac:dyDescent="0.3">
      <c r="A36" s="3" t="s">
        <v>21</v>
      </c>
      <c r="B36" s="3" t="s">
        <v>22</v>
      </c>
      <c r="C36" s="3" t="s">
        <v>23</v>
      </c>
      <c r="D36" s="3">
        <v>21157</v>
      </c>
      <c r="E36" s="3">
        <v>2</v>
      </c>
      <c r="F36" s="3" t="s">
        <v>333</v>
      </c>
      <c r="G36" s="3" t="s">
        <v>663</v>
      </c>
      <c r="H36" s="3" t="s">
        <v>593</v>
      </c>
      <c r="I36" s="3" t="s">
        <v>664</v>
      </c>
      <c r="J36" s="3" t="s">
        <v>665</v>
      </c>
      <c r="K36" s="3" t="s">
        <v>666</v>
      </c>
      <c r="L36" s="3" t="s">
        <v>667</v>
      </c>
      <c r="M36" s="3" t="s">
        <v>174</v>
      </c>
      <c r="N36" s="3" t="s">
        <v>662</v>
      </c>
    </row>
    <row r="37" spans="1:14" x14ac:dyDescent="0.3">
      <c r="A37" s="3" t="s">
        <v>21</v>
      </c>
      <c r="B37" s="3" t="s">
        <v>22</v>
      </c>
      <c r="C37" s="3" t="s">
        <v>23</v>
      </c>
      <c r="D37" s="3">
        <v>21157</v>
      </c>
      <c r="E37" s="3">
        <v>0</v>
      </c>
      <c r="F37" s="3" t="s">
        <v>333</v>
      </c>
      <c r="G37" s="3" t="s">
        <v>1381</v>
      </c>
      <c r="H37" s="3" t="s">
        <v>669</v>
      </c>
      <c r="I37" s="3" t="s">
        <v>1382</v>
      </c>
      <c r="J37" s="3" t="s">
        <v>669</v>
      </c>
      <c r="K37" s="3" t="s">
        <v>1383</v>
      </c>
      <c r="L37" s="3" t="s">
        <v>1384</v>
      </c>
      <c r="M37" s="3" t="s">
        <v>174</v>
      </c>
      <c r="N37" s="3" t="s">
        <v>1385</v>
      </c>
    </row>
    <row r="38" spans="1:14" x14ac:dyDescent="0.3">
      <c r="A38" s="3" t="s">
        <v>21</v>
      </c>
      <c r="B38" s="3" t="s">
        <v>22</v>
      </c>
      <c r="C38" s="3" t="s">
        <v>23</v>
      </c>
      <c r="D38" s="3">
        <v>21157</v>
      </c>
      <c r="E38" s="3">
        <v>0</v>
      </c>
      <c r="F38" s="3" t="s">
        <v>168</v>
      </c>
      <c r="G38" s="3" t="s">
        <v>754</v>
      </c>
      <c r="H38" s="3" t="s">
        <v>669</v>
      </c>
      <c r="I38" s="3" t="s">
        <v>755</v>
      </c>
      <c r="J38" s="3" t="s">
        <v>669</v>
      </c>
      <c r="K38" s="3" t="s">
        <v>756</v>
      </c>
      <c r="L38" s="3" t="s">
        <v>757</v>
      </c>
      <c r="M38" s="3" t="s">
        <v>174</v>
      </c>
      <c r="N38" s="3" t="s">
        <v>758</v>
      </c>
    </row>
    <row r="39" spans="1:14" x14ac:dyDescent="0.3">
      <c r="A39" s="3" t="s">
        <v>21</v>
      </c>
      <c r="B39" s="3" t="s">
        <v>22</v>
      </c>
      <c r="C39" s="3" t="s">
        <v>23</v>
      </c>
      <c r="D39" s="3">
        <v>21157</v>
      </c>
      <c r="E39" s="3">
        <v>2</v>
      </c>
      <c r="F39" s="3" t="s">
        <v>333</v>
      </c>
      <c r="G39" s="3" t="s">
        <v>657</v>
      </c>
      <c r="H39" s="3" t="s">
        <v>593</v>
      </c>
      <c r="I39" s="3" t="s">
        <v>658</v>
      </c>
      <c r="J39" s="3" t="s">
        <v>659</v>
      </c>
      <c r="K39" s="3" t="s">
        <v>660</v>
      </c>
      <c r="L39" s="3" t="s">
        <v>661</v>
      </c>
      <c r="M39" s="3" t="s">
        <v>174</v>
      </c>
      <c r="N39" s="3" t="s">
        <v>662</v>
      </c>
    </row>
    <row r="40" spans="1:14" x14ac:dyDescent="0.3">
      <c r="A40" s="3" t="s">
        <v>21</v>
      </c>
      <c r="B40" s="3" t="s">
        <v>22</v>
      </c>
      <c r="C40" s="3" t="s">
        <v>23</v>
      </c>
      <c r="D40" s="3">
        <v>21157</v>
      </c>
      <c r="E40" s="3">
        <v>3</v>
      </c>
      <c r="F40" s="3" t="s">
        <v>333</v>
      </c>
      <c r="G40" s="3" t="s">
        <v>586</v>
      </c>
      <c r="H40" s="3" t="s">
        <v>170</v>
      </c>
      <c r="I40" s="3" t="s">
        <v>587</v>
      </c>
      <c r="J40" s="3" t="s">
        <v>588</v>
      </c>
      <c r="K40" s="3" t="s">
        <v>589</v>
      </c>
      <c r="L40" s="3" t="s">
        <v>590</v>
      </c>
      <c r="M40" s="3" t="s">
        <v>174</v>
      </c>
      <c r="N40" s="3" t="s">
        <v>591</v>
      </c>
    </row>
    <row r="41" spans="1:14" x14ac:dyDescent="0.3">
      <c r="A41" s="3" t="s">
        <v>21</v>
      </c>
      <c r="B41" s="3" t="s">
        <v>22</v>
      </c>
      <c r="C41" s="3" t="s">
        <v>23</v>
      </c>
      <c r="D41" s="3">
        <v>21157</v>
      </c>
      <c r="E41" s="3">
        <v>3</v>
      </c>
      <c r="F41" s="3" t="s">
        <v>333</v>
      </c>
      <c r="G41" s="3" t="s">
        <v>581</v>
      </c>
      <c r="H41" s="3" t="s">
        <v>170</v>
      </c>
      <c r="I41" s="3" t="s">
        <v>582</v>
      </c>
      <c r="J41" s="3" t="s">
        <v>583</v>
      </c>
      <c r="K41" s="3" t="s">
        <v>584</v>
      </c>
      <c r="L41" s="3" t="s">
        <v>585</v>
      </c>
      <c r="M41" s="3" t="s">
        <v>174</v>
      </c>
      <c r="N41" s="3" t="s">
        <v>355</v>
      </c>
    </row>
    <row r="42" spans="1:14" x14ac:dyDescent="0.3">
      <c r="A42" s="3" t="s">
        <v>21</v>
      </c>
      <c r="B42" s="3" t="s">
        <v>22</v>
      </c>
      <c r="C42" s="3" t="s">
        <v>23</v>
      </c>
      <c r="D42" s="3">
        <v>21157</v>
      </c>
      <c r="E42" s="3">
        <v>0</v>
      </c>
      <c r="F42" s="3" t="s">
        <v>333</v>
      </c>
      <c r="G42" s="3" t="s">
        <v>1377</v>
      </c>
      <c r="H42" s="3" t="s">
        <v>669</v>
      </c>
      <c r="I42" s="3" t="s">
        <v>1378</v>
      </c>
      <c r="J42" s="3" t="s">
        <v>352</v>
      </c>
      <c r="K42" s="3" t="s">
        <v>1379</v>
      </c>
      <c r="L42" s="3" t="s">
        <v>1380</v>
      </c>
      <c r="M42" s="3" t="s">
        <v>174</v>
      </c>
      <c r="N42" s="3" t="s">
        <v>355</v>
      </c>
    </row>
    <row r="43" spans="1:14" x14ac:dyDescent="0.3">
      <c r="A43" s="3" t="s">
        <v>21</v>
      </c>
      <c r="B43" s="3" t="s">
        <v>22</v>
      </c>
      <c r="C43" s="3" t="s">
        <v>23</v>
      </c>
      <c r="D43" s="3">
        <v>21157</v>
      </c>
      <c r="E43" s="3">
        <v>0</v>
      </c>
      <c r="F43" s="3" t="s">
        <v>333</v>
      </c>
      <c r="G43" s="3" t="s">
        <v>1373</v>
      </c>
      <c r="H43" s="3" t="s">
        <v>669</v>
      </c>
      <c r="I43" s="3" t="s">
        <v>1374</v>
      </c>
      <c r="J43" s="3" t="s">
        <v>669</v>
      </c>
      <c r="K43" s="3" t="s">
        <v>1375</v>
      </c>
      <c r="L43" s="3" t="s">
        <v>1376</v>
      </c>
      <c r="M43" s="3" t="s">
        <v>174</v>
      </c>
      <c r="N43" s="3" t="s">
        <v>499</v>
      </c>
    </row>
    <row r="44" spans="1:14" x14ac:dyDescent="0.3">
      <c r="A44" s="3" t="s">
        <v>21</v>
      </c>
      <c r="B44" s="3" t="s">
        <v>22</v>
      </c>
      <c r="C44" s="3" t="s">
        <v>23</v>
      </c>
      <c r="D44" s="3">
        <v>21157</v>
      </c>
      <c r="E44" s="3">
        <v>3</v>
      </c>
      <c r="F44" s="3" t="s">
        <v>333</v>
      </c>
      <c r="G44" s="3" t="s">
        <v>576</v>
      </c>
      <c r="H44" s="3" t="s">
        <v>170</v>
      </c>
      <c r="I44" s="3" t="s">
        <v>577</v>
      </c>
      <c r="J44" s="3" t="s">
        <v>336</v>
      </c>
      <c r="K44" s="3" t="s">
        <v>578</v>
      </c>
      <c r="L44" s="3" t="s">
        <v>579</v>
      </c>
      <c r="M44" s="3" t="s">
        <v>174</v>
      </c>
      <c r="N44" s="3" t="s">
        <v>580</v>
      </c>
    </row>
    <row r="45" spans="1:14" x14ac:dyDescent="0.3">
      <c r="A45" s="3" t="s">
        <v>21</v>
      </c>
      <c r="B45" s="3" t="s">
        <v>22</v>
      </c>
      <c r="C45" s="3" t="s">
        <v>23</v>
      </c>
      <c r="D45" s="3">
        <v>21157</v>
      </c>
      <c r="E45" s="3">
        <v>0</v>
      </c>
      <c r="F45" s="3" t="s">
        <v>333</v>
      </c>
      <c r="G45" s="3" t="s">
        <v>1369</v>
      </c>
      <c r="H45" s="3" t="s">
        <v>669</v>
      </c>
      <c r="I45" s="3" t="s">
        <v>1370</v>
      </c>
      <c r="J45" s="3" t="s">
        <v>336</v>
      </c>
      <c r="K45" s="3" t="s">
        <v>1371</v>
      </c>
      <c r="L45" s="3" t="s">
        <v>1372</v>
      </c>
      <c r="M45" s="3" t="s">
        <v>174</v>
      </c>
      <c r="N45" s="3" t="s">
        <v>532</v>
      </c>
    </row>
    <row r="46" spans="1:14" x14ac:dyDescent="0.3">
      <c r="A46" s="3" t="s">
        <v>21</v>
      </c>
      <c r="B46" s="3" t="s">
        <v>22</v>
      </c>
      <c r="C46" s="3" t="s">
        <v>23</v>
      </c>
      <c r="D46" s="3">
        <v>21157</v>
      </c>
      <c r="E46" s="3">
        <v>0</v>
      </c>
      <c r="F46" s="3" t="s">
        <v>333</v>
      </c>
      <c r="G46" s="3" t="s">
        <v>1364</v>
      </c>
      <c r="H46" s="3" t="s">
        <v>669</v>
      </c>
      <c r="I46" s="3" t="s">
        <v>1365</v>
      </c>
      <c r="J46" s="3" t="s">
        <v>1366</v>
      </c>
      <c r="K46" s="3" t="s">
        <v>1367</v>
      </c>
      <c r="L46" s="3" t="s">
        <v>1368</v>
      </c>
      <c r="M46" s="3" t="s">
        <v>174</v>
      </c>
      <c r="N46" s="3" t="s">
        <v>1363</v>
      </c>
    </row>
    <row r="47" spans="1:14" x14ac:dyDescent="0.3">
      <c r="A47" s="3" t="s">
        <v>21</v>
      </c>
      <c r="B47" s="3" t="s">
        <v>22</v>
      </c>
      <c r="C47" s="3" t="s">
        <v>23</v>
      </c>
      <c r="D47" s="3">
        <v>21157</v>
      </c>
      <c r="E47" s="3">
        <v>0</v>
      </c>
      <c r="F47" s="3" t="s">
        <v>333</v>
      </c>
      <c r="G47" s="3" t="s">
        <v>1358</v>
      </c>
      <c r="H47" s="3" t="s">
        <v>669</v>
      </c>
      <c r="I47" s="3" t="s">
        <v>1359</v>
      </c>
      <c r="J47" s="3" t="s">
        <v>1360</v>
      </c>
      <c r="K47" s="3" t="s">
        <v>1361</v>
      </c>
      <c r="L47" s="3" t="s">
        <v>1362</v>
      </c>
      <c r="M47" s="3" t="s">
        <v>174</v>
      </c>
      <c r="N47" s="3" t="s">
        <v>1363</v>
      </c>
    </row>
    <row r="48" spans="1:14" x14ac:dyDescent="0.3">
      <c r="A48" s="3" t="s">
        <v>21</v>
      </c>
      <c r="B48" s="3" t="s">
        <v>22</v>
      </c>
      <c r="C48" s="3" t="s">
        <v>23</v>
      </c>
      <c r="D48" s="3">
        <v>21157</v>
      </c>
      <c r="E48" s="3">
        <v>0</v>
      </c>
      <c r="F48" s="3" t="s">
        <v>333</v>
      </c>
      <c r="G48" s="3" t="s">
        <v>1353</v>
      </c>
      <c r="H48" s="3" t="s">
        <v>669</v>
      </c>
      <c r="I48" s="3" t="s">
        <v>1354</v>
      </c>
      <c r="J48" s="3" t="s">
        <v>1355</v>
      </c>
      <c r="K48" s="3" t="s">
        <v>1356</v>
      </c>
      <c r="L48" s="3" t="s">
        <v>1357</v>
      </c>
      <c r="M48" s="3" t="s">
        <v>174</v>
      </c>
      <c r="N48" s="3" t="s">
        <v>355</v>
      </c>
    </row>
    <row r="49" spans="1:14" x14ac:dyDescent="0.3">
      <c r="A49" s="3" t="s">
        <v>21</v>
      </c>
      <c r="B49" s="3" t="s">
        <v>22</v>
      </c>
      <c r="C49" s="3" t="s">
        <v>23</v>
      </c>
      <c r="D49" s="3">
        <v>21157</v>
      </c>
      <c r="E49" s="3">
        <v>0</v>
      </c>
      <c r="F49" s="3" t="s">
        <v>333</v>
      </c>
      <c r="G49" s="3" t="s">
        <v>1349</v>
      </c>
      <c r="H49" s="3" t="s">
        <v>669</v>
      </c>
      <c r="I49" s="3" t="s">
        <v>1350</v>
      </c>
      <c r="J49" s="3" t="s">
        <v>669</v>
      </c>
      <c r="K49" s="3" t="s">
        <v>1351</v>
      </c>
      <c r="L49" s="3" t="s">
        <v>1352</v>
      </c>
      <c r="M49" s="3" t="s">
        <v>174</v>
      </c>
      <c r="N49" s="3" t="s">
        <v>355</v>
      </c>
    </row>
    <row r="50" spans="1:14" x14ac:dyDescent="0.3">
      <c r="A50" s="3" t="s">
        <v>21</v>
      </c>
      <c r="B50" s="3" t="s">
        <v>22</v>
      </c>
      <c r="C50" s="3" t="s">
        <v>23</v>
      </c>
      <c r="D50" s="3">
        <v>21157</v>
      </c>
      <c r="E50" s="3">
        <v>0</v>
      </c>
      <c r="F50" s="3" t="s">
        <v>333</v>
      </c>
      <c r="G50" s="3" t="s">
        <v>1345</v>
      </c>
      <c r="H50" s="3" t="s">
        <v>669</v>
      </c>
      <c r="I50" s="3" t="s">
        <v>1346</v>
      </c>
      <c r="J50" s="3" t="s">
        <v>669</v>
      </c>
      <c r="K50" s="3" t="s">
        <v>1347</v>
      </c>
      <c r="L50" s="3" t="s">
        <v>1348</v>
      </c>
      <c r="M50" s="3" t="s">
        <v>174</v>
      </c>
      <c r="N50" s="3" t="s">
        <v>355</v>
      </c>
    </row>
    <row r="51" spans="1:14" x14ac:dyDescent="0.3">
      <c r="A51" s="3" t="s">
        <v>21</v>
      </c>
      <c r="B51" s="3" t="s">
        <v>22</v>
      </c>
      <c r="C51" s="3" t="s">
        <v>23</v>
      </c>
      <c r="D51" s="3">
        <v>21157</v>
      </c>
      <c r="E51" s="3">
        <v>0</v>
      </c>
      <c r="F51" s="3" t="s">
        <v>333</v>
      </c>
      <c r="G51" s="3" t="s">
        <v>1341</v>
      </c>
      <c r="H51" s="3" t="s">
        <v>669</v>
      </c>
      <c r="I51" s="3" t="s">
        <v>1342</v>
      </c>
      <c r="J51" s="3" t="s">
        <v>669</v>
      </c>
      <c r="K51" s="3" t="s">
        <v>1343</v>
      </c>
      <c r="L51" s="3" t="s">
        <v>1344</v>
      </c>
      <c r="M51" s="3" t="s">
        <v>174</v>
      </c>
      <c r="N51" s="3" t="s">
        <v>355</v>
      </c>
    </row>
    <row r="52" spans="1:14" x14ac:dyDescent="0.3">
      <c r="A52" s="3" t="s">
        <v>21</v>
      </c>
      <c r="B52" s="3" t="s">
        <v>22</v>
      </c>
      <c r="C52" s="3" t="s">
        <v>23</v>
      </c>
      <c r="D52" s="3">
        <v>21157</v>
      </c>
      <c r="E52" s="3">
        <v>0</v>
      </c>
      <c r="F52" s="3" t="s">
        <v>168</v>
      </c>
      <c r="G52" s="3" t="s">
        <v>750</v>
      </c>
      <c r="H52" s="3" t="s">
        <v>669</v>
      </c>
      <c r="I52" s="3" t="s">
        <v>751</v>
      </c>
      <c r="J52" s="3" t="s">
        <v>669</v>
      </c>
      <c r="K52" s="3" t="s">
        <v>752</v>
      </c>
      <c r="L52" s="3" t="s">
        <v>753</v>
      </c>
      <c r="M52" s="3" t="s">
        <v>174</v>
      </c>
      <c r="N52" s="3" t="s">
        <v>175</v>
      </c>
    </row>
    <row r="53" spans="1:14" x14ac:dyDescent="0.3">
      <c r="A53" s="3" t="s">
        <v>21</v>
      </c>
      <c r="B53" s="3" t="s">
        <v>22</v>
      </c>
      <c r="C53" s="3" t="s">
        <v>23</v>
      </c>
      <c r="D53" s="3">
        <v>21157</v>
      </c>
      <c r="E53" s="3">
        <v>0</v>
      </c>
      <c r="F53" s="3" t="s">
        <v>333</v>
      </c>
      <c r="G53" s="3" t="s">
        <v>1335</v>
      </c>
      <c r="H53" s="3" t="s">
        <v>669</v>
      </c>
      <c r="I53" s="3" t="s">
        <v>1336</v>
      </c>
      <c r="J53" s="3" t="s">
        <v>1337</v>
      </c>
      <c r="K53" s="3" t="s">
        <v>1338</v>
      </c>
      <c r="L53" s="3" t="s">
        <v>1339</v>
      </c>
      <c r="M53" s="3" t="s">
        <v>174</v>
      </c>
      <c r="N53" s="3" t="s">
        <v>1340</v>
      </c>
    </row>
    <row r="54" spans="1:14" x14ac:dyDescent="0.3">
      <c r="A54" s="3" t="s">
        <v>21</v>
      </c>
      <c r="B54" s="3" t="s">
        <v>22</v>
      </c>
      <c r="C54" s="3" t="s">
        <v>23</v>
      </c>
      <c r="D54" s="3">
        <v>21157</v>
      </c>
      <c r="E54" s="3">
        <v>0</v>
      </c>
      <c r="F54" s="3" t="s">
        <v>333</v>
      </c>
      <c r="G54" s="3" t="s">
        <v>1330</v>
      </c>
      <c r="H54" s="3" t="s">
        <v>669</v>
      </c>
      <c r="I54" s="3" t="s">
        <v>1331</v>
      </c>
      <c r="J54" s="3" t="s">
        <v>1332</v>
      </c>
      <c r="K54" s="3" t="s">
        <v>1333</v>
      </c>
      <c r="L54" s="3" t="s">
        <v>1334</v>
      </c>
      <c r="M54" s="3" t="s">
        <v>174</v>
      </c>
      <c r="N54" s="3" t="s">
        <v>532</v>
      </c>
    </row>
    <row r="55" spans="1:14" x14ac:dyDescent="0.3">
      <c r="A55" s="3" t="s">
        <v>21</v>
      </c>
      <c r="B55" s="3" t="s">
        <v>22</v>
      </c>
      <c r="C55" s="3" t="s">
        <v>23</v>
      </c>
      <c r="D55" s="3">
        <v>21157</v>
      </c>
      <c r="E55" s="3">
        <v>0</v>
      </c>
      <c r="F55" s="3" t="s">
        <v>333</v>
      </c>
      <c r="G55" s="3" t="s">
        <v>1324</v>
      </c>
      <c r="H55" s="3" t="s">
        <v>669</v>
      </c>
      <c r="I55" s="3" t="s">
        <v>1325</v>
      </c>
      <c r="J55" s="3" t="s">
        <v>1326</v>
      </c>
      <c r="K55" s="3" t="s">
        <v>1327</v>
      </c>
      <c r="L55" s="3" t="s">
        <v>1328</v>
      </c>
      <c r="M55" s="3" t="s">
        <v>174</v>
      </c>
      <c r="N55" s="3" t="s">
        <v>1329</v>
      </c>
    </row>
    <row r="56" spans="1:14" x14ac:dyDescent="0.3">
      <c r="A56" s="3" t="s">
        <v>21</v>
      </c>
      <c r="B56" s="3" t="s">
        <v>22</v>
      </c>
      <c r="C56" s="3" t="s">
        <v>23</v>
      </c>
      <c r="D56" s="3">
        <v>21157</v>
      </c>
      <c r="E56" s="3">
        <v>3</v>
      </c>
      <c r="F56" s="3" t="s">
        <v>333</v>
      </c>
      <c r="G56" s="3" t="s">
        <v>571</v>
      </c>
      <c r="H56" s="3" t="s">
        <v>170</v>
      </c>
      <c r="I56" s="3" t="s">
        <v>572</v>
      </c>
      <c r="J56" s="3" t="s">
        <v>170</v>
      </c>
      <c r="K56" s="3" t="s">
        <v>573</v>
      </c>
      <c r="L56" s="3" t="s">
        <v>574</v>
      </c>
      <c r="M56" s="3" t="s">
        <v>174</v>
      </c>
      <c r="N56" s="3" t="s">
        <v>575</v>
      </c>
    </row>
    <row r="57" spans="1:14" x14ac:dyDescent="0.3">
      <c r="A57" s="3" t="s">
        <v>21</v>
      </c>
      <c r="B57" s="3" t="s">
        <v>22</v>
      </c>
      <c r="C57" s="3" t="s">
        <v>23</v>
      </c>
      <c r="D57" s="3">
        <v>21157</v>
      </c>
      <c r="E57" s="3">
        <v>3</v>
      </c>
      <c r="F57" s="3" t="s">
        <v>333</v>
      </c>
      <c r="G57" s="3" t="s">
        <v>567</v>
      </c>
      <c r="H57" s="3" t="s">
        <v>170</v>
      </c>
      <c r="I57" s="3" t="s">
        <v>568</v>
      </c>
      <c r="J57" s="3" t="s">
        <v>170</v>
      </c>
      <c r="K57" s="3" t="s">
        <v>569</v>
      </c>
      <c r="L57" s="3" t="s">
        <v>570</v>
      </c>
      <c r="M57" s="3" t="s">
        <v>174</v>
      </c>
      <c r="N57" s="3" t="s">
        <v>482</v>
      </c>
    </row>
    <row r="58" spans="1:14" x14ac:dyDescent="0.3">
      <c r="A58" s="3" t="s">
        <v>21</v>
      </c>
      <c r="B58" s="3" t="s">
        <v>22</v>
      </c>
      <c r="C58" s="3" t="s">
        <v>23</v>
      </c>
      <c r="D58" s="3">
        <v>21157</v>
      </c>
      <c r="E58" s="3">
        <v>3</v>
      </c>
      <c r="F58" s="3" t="s">
        <v>333</v>
      </c>
      <c r="G58" s="3" t="s">
        <v>563</v>
      </c>
      <c r="H58" s="3" t="s">
        <v>170</v>
      </c>
      <c r="I58" s="3" t="s">
        <v>564</v>
      </c>
      <c r="J58" s="3" t="s">
        <v>170</v>
      </c>
      <c r="K58" s="3" t="s">
        <v>565</v>
      </c>
      <c r="L58" s="3" t="s">
        <v>566</v>
      </c>
      <c r="M58" s="3" t="s">
        <v>174</v>
      </c>
      <c r="N58" s="3" t="s">
        <v>482</v>
      </c>
    </row>
    <row r="59" spans="1:14" x14ac:dyDescent="0.3">
      <c r="A59" s="3" t="s">
        <v>21</v>
      </c>
      <c r="B59" s="3" t="s">
        <v>22</v>
      </c>
      <c r="C59" s="3" t="s">
        <v>23</v>
      </c>
      <c r="D59" s="3">
        <v>21157</v>
      </c>
      <c r="E59" s="3">
        <v>0</v>
      </c>
      <c r="F59" s="3" t="s">
        <v>333</v>
      </c>
      <c r="G59" s="3" t="s">
        <v>1319</v>
      </c>
      <c r="H59" s="3" t="s">
        <v>669</v>
      </c>
      <c r="I59" s="3" t="s">
        <v>1320</v>
      </c>
      <c r="J59" s="3" t="s">
        <v>1321</v>
      </c>
      <c r="K59" s="3" t="s">
        <v>1322</v>
      </c>
      <c r="L59" s="3" t="s">
        <v>1323</v>
      </c>
      <c r="M59" s="3" t="s">
        <v>174</v>
      </c>
      <c r="N59" s="3" t="s">
        <v>355</v>
      </c>
    </row>
    <row r="60" spans="1:14" x14ac:dyDescent="0.3">
      <c r="A60" s="3" t="s">
        <v>21</v>
      </c>
      <c r="B60" s="3" t="s">
        <v>22</v>
      </c>
      <c r="C60" s="3" t="s">
        <v>23</v>
      </c>
      <c r="D60" s="3">
        <v>21157</v>
      </c>
      <c r="E60" s="3">
        <v>0</v>
      </c>
      <c r="F60" s="3" t="s">
        <v>333</v>
      </c>
      <c r="G60" s="3" t="s">
        <v>1314</v>
      </c>
      <c r="H60" s="3" t="s">
        <v>669</v>
      </c>
      <c r="I60" s="3" t="s">
        <v>1315</v>
      </c>
      <c r="J60" s="3" t="s">
        <v>1316</v>
      </c>
      <c r="K60" s="3" t="s">
        <v>1317</v>
      </c>
      <c r="L60" s="3" t="s">
        <v>1318</v>
      </c>
      <c r="M60" s="3" t="s">
        <v>174</v>
      </c>
      <c r="N60" s="3" t="s">
        <v>355</v>
      </c>
    </row>
    <row r="61" spans="1:14" x14ac:dyDescent="0.3">
      <c r="A61" s="3" t="s">
        <v>21</v>
      </c>
      <c r="B61" s="3" t="s">
        <v>22</v>
      </c>
      <c r="C61" s="3" t="s">
        <v>23</v>
      </c>
      <c r="D61" s="3">
        <v>21157</v>
      </c>
      <c r="E61" s="3">
        <v>0</v>
      </c>
      <c r="F61" s="3" t="s">
        <v>333</v>
      </c>
      <c r="G61" s="3" t="s">
        <v>1309</v>
      </c>
      <c r="H61" s="3" t="s">
        <v>669</v>
      </c>
      <c r="I61" s="3" t="s">
        <v>1310</v>
      </c>
      <c r="J61" s="3" t="s">
        <v>1311</v>
      </c>
      <c r="K61" s="3" t="s">
        <v>1312</v>
      </c>
      <c r="L61" s="3" t="s">
        <v>1313</v>
      </c>
      <c r="M61" s="3" t="s">
        <v>174</v>
      </c>
      <c r="N61" s="3" t="s">
        <v>355</v>
      </c>
    </row>
    <row r="62" spans="1:14" x14ac:dyDescent="0.3">
      <c r="A62" s="3" t="s">
        <v>21</v>
      </c>
      <c r="B62" s="3" t="s">
        <v>22</v>
      </c>
      <c r="C62" s="3" t="s">
        <v>23</v>
      </c>
      <c r="D62" s="3">
        <v>21157</v>
      </c>
      <c r="E62" s="3">
        <v>0</v>
      </c>
      <c r="F62" s="3" t="s">
        <v>168</v>
      </c>
      <c r="G62" s="3" t="s">
        <v>745</v>
      </c>
      <c r="H62" s="3" t="s">
        <v>669</v>
      </c>
      <c r="I62" s="3" t="s">
        <v>746</v>
      </c>
      <c r="J62" s="3" t="s">
        <v>747</v>
      </c>
      <c r="K62" s="3" t="s">
        <v>748</v>
      </c>
      <c r="L62" s="3" t="s">
        <v>749</v>
      </c>
      <c r="M62" s="3" t="s">
        <v>174</v>
      </c>
      <c r="N62" s="3" t="s">
        <v>717</v>
      </c>
    </row>
    <row r="63" spans="1:14" x14ac:dyDescent="0.3">
      <c r="A63" s="3" t="s">
        <v>21</v>
      </c>
      <c r="B63" s="3" t="s">
        <v>22</v>
      </c>
      <c r="C63" s="3" t="s">
        <v>23</v>
      </c>
      <c r="D63" s="3">
        <v>21157</v>
      </c>
      <c r="E63" s="3">
        <v>0</v>
      </c>
      <c r="F63" s="3" t="s">
        <v>333</v>
      </c>
      <c r="G63" s="3" t="s">
        <v>1306</v>
      </c>
      <c r="H63" s="3" t="s">
        <v>669</v>
      </c>
      <c r="I63" s="3"/>
      <c r="J63" s="3" t="s">
        <v>669</v>
      </c>
      <c r="K63" s="3" t="s">
        <v>1307</v>
      </c>
      <c r="L63" s="3" t="s">
        <v>1308</v>
      </c>
      <c r="M63" s="3" t="s">
        <v>174</v>
      </c>
      <c r="N63" s="3" t="s">
        <v>532</v>
      </c>
    </row>
    <row r="64" spans="1:14" x14ac:dyDescent="0.3">
      <c r="A64" s="3" t="s">
        <v>21</v>
      </c>
      <c r="B64" s="3" t="s">
        <v>22</v>
      </c>
      <c r="C64" s="3" t="s">
        <v>23</v>
      </c>
      <c r="D64" s="3">
        <v>21157</v>
      </c>
      <c r="E64" s="3">
        <v>0</v>
      </c>
      <c r="F64" s="3" t="s">
        <v>333</v>
      </c>
      <c r="G64" s="3" t="s">
        <v>1301</v>
      </c>
      <c r="H64" s="3" t="s">
        <v>669</v>
      </c>
      <c r="I64" s="3" t="s">
        <v>1302</v>
      </c>
      <c r="J64" s="3" t="s">
        <v>1303</v>
      </c>
      <c r="K64" s="3" t="s">
        <v>1304</v>
      </c>
      <c r="L64" s="3" t="s">
        <v>1305</v>
      </c>
      <c r="M64" s="3" t="s">
        <v>174</v>
      </c>
      <c r="N64" s="3" t="s">
        <v>482</v>
      </c>
    </row>
    <row r="65" spans="1:14" x14ac:dyDescent="0.3">
      <c r="A65" s="3" t="s">
        <v>21</v>
      </c>
      <c r="B65" s="3" t="s">
        <v>22</v>
      </c>
      <c r="C65" s="3" t="s">
        <v>23</v>
      </c>
      <c r="D65" s="3">
        <v>21157</v>
      </c>
      <c r="E65" s="3">
        <v>0</v>
      </c>
      <c r="F65" s="3" t="s">
        <v>333</v>
      </c>
      <c r="G65" s="3" t="s">
        <v>1296</v>
      </c>
      <c r="H65" s="3" t="s">
        <v>669</v>
      </c>
      <c r="I65" s="3" t="s">
        <v>1297</v>
      </c>
      <c r="J65" s="3" t="s">
        <v>336</v>
      </c>
      <c r="K65" s="3" t="s">
        <v>1298</v>
      </c>
      <c r="L65" s="3" t="s">
        <v>1299</v>
      </c>
      <c r="M65" s="3" t="s">
        <v>174</v>
      </c>
      <c r="N65" s="3" t="s">
        <v>1300</v>
      </c>
    </row>
    <row r="66" spans="1:14" x14ac:dyDescent="0.3">
      <c r="A66" s="3" t="s">
        <v>21</v>
      </c>
      <c r="B66" s="3" t="s">
        <v>22</v>
      </c>
      <c r="C66" s="3" t="s">
        <v>23</v>
      </c>
      <c r="D66" s="3">
        <v>21157</v>
      </c>
      <c r="E66" s="3">
        <v>0</v>
      </c>
      <c r="F66" s="3" t="s">
        <v>333</v>
      </c>
      <c r="G66" s="3" t="s">
        <v>1293</v>
      </c>
      <c r="H66" s="3" t="s">
        <v>669</v>
      </c>
      <c r="I66" s="3" t="s">
        <v>1278</v>
      </c>
      <c r="J66" s="3" t="s">
        <v>336</v>
      </c>
      <c r="K66" s="3" t="s">
        <v>1294</v>
      </c>
      <c r="L66" s="3" t="s">
        <v>1295</v>
      </c>
      <c r="M66" s="3" t="s">
        <v>174</v>
      </c>
      <c r="N66" s="3" t="s">
        <v>944</v>
      </c>
    </row>
    <row r="67" spans="1:14" x14ac:dyDescent="0.3">
      <c r="A67" s="3" t="s">
        <v>21</v>
      </c>
      <c r="B67" s="3" t="s">
        <v>22</v>
      </c>
      <c r="C67" s="3" t="s">
        <v>23</v>
      </c>
      <c r="D67" s="3">
        <v>21157</v>
      </c>
      <c r="E67" s="3">
        <v>0</v>
      </c>
      <c r="F67" s="3" t="s">
        <v>333</v>
      </c>
      <c r="G67" s="3" t="s">
        <v>1290</v>
      </c>
      <c r="H67" s="3" t="s">
        <v>669</v>
      </c>
      <c r="I67" s="3" t="s">
        <v>1278</v>
      </c>
      <c r="J67" s="3" t="s">
        <v>336</v>
      </c>
      <c r="K67" s="3" t="s">
        <v>1291</v>
      </c>
      <c r="L67" s="3" t="s">
        <v>1292</v>
      </c>
      <c r="M67" s="3" t="s">
        <v>174</v>
      </c>
      <c r="N67" s="3" t="s">
        <v>944</v>
      </c>
    </row>
    <row r="68" spans="1:14" x14ac:dyDescent="0.3">
      <c r="A68" s="3" t="s">
        <v>21</v>
      </c>
      <c r="B68" s="3" t="s">
        <v>22</v>
      </c>
      <c r="C68" s="3" t="s">
        <v>23</v>
      </c>
      <c r="D68" s="3">
        <v>21157</v>
      </c>
      <c r="E68" s="3">
        <v>0</v>
      </c>
      <c r="F68" s="3" t="s">
        <v>333</v>
      </c>
      <c r="G68" s="3" t="s">
        <v>1287</v>
      </c>
      <c r="H68" s="3" t="s">
        <v>669</v>
      </c>
      <c r="I68" s="3" t="s">
        <v>1278</v>
      </c>
      <c r="J68" s="3" t="s">
        <v>336</v>
      </c>
      <c r="K68" s="3" t="s">
        <v>1288</v>
      </c>
      <c r="L68" s="3" t="s">
        <v>1289</v>
      </c>
      <c r="M68" s="3" t="s">
        <v>174</v>
      </c>
      <c r="N68" s="3" t="s">
        <v>1271</v>
      </c>
    </row>
    <row r="69" spans="1:14" x14ac:dyDescent="0.3">
      <c r="A69" s="3" t="s">
        <v>21</v>
      </c>
      <c r="B69" s="3" t="s">
        <v>22</v>
      </c>
      <c r="C69" s="3" t="s">
        <v>23</v>
      </c>
      <c r="D69" s="3">
        <v>21157</v>
      </c>
      <c r="E69" s="3">
        <v>0</v>
      </c>
      <c r="F69" s="3" t="s">
        <v>333</v>
      </c>
      <c r="G69" s="3" t="s">
        <v>1284</v>
      </c>
      <c r="H69" s="3" t="s">
        <v>669</v>
      </c>
      <c r="I69" s="3" t="s">
        <v>1278</v>
      </c>
      <c r="J69" s="3" t="s">
        <v>336</v>
      </c>
      <c r="K69" s="3" t="s">
        <v>1285</v>
      </c>
      <c r="L69" s="3" t="s">
        <v>1286</v>
      </c>
      <c r="M69" s="3" t="s">
        <v>174</v>
      </c>
      <c r="N69" s="3" t="s">
        <v>1271</v>
      </c>
    </row>
    <row r="70" spans="1:14" x14ac:dyDescent="0.3">
      <c r="A70" s="3" t="s">
        <v>21</v>
      </c>
      <c r="B70" s="3" t="s">
        <v>22</v>
      </c>
      <c r="C70" s="3" t="s">
        <v>23</v>
      </c>
      <c r="D70" s="3">
        <v>21157</v>
      </c>
      <c r="E70" s="3">
        <v>0</v>
      </c>
      <c r="F70" s="3" t="s">
        <v>333</v>
      </c>
      <c r="G70" s="3" t="s">
        <v>1281</v>
      </c>
      <c r="H70" s="3" t="s">
        <v>669</v>
      </c>
      <c r="I70" s="3" t="s">
        <v>1278</v>
      </c>
      <c r="J70" s="3" t="s">
        <v>336</v>
      </c>
      <c r="K70" s="3" t="s">
        <v>1282</v>
      </c>
      <c r="L70" s="3" t="s">
        <v>1283</v>
      </c>
      <c r="M70" s="3" t="s">
        <v>174</v>
      </c>
      <c r="N70" s="3" t="s">
        <v>1271</v>
      </c>
    </row>
    <row r="71" spans="1:14" x14ac:dyDescent="0.3">
      <c r="A71" s="3" t="s">
        <v>21</v>
      </c>
      <c r="B71" s="3" t="s">
        <v>22</v>
      </c>
      <c r="C71" s="3" t="s">
        <v>23</v>
      </c>
      <c r="D71" s="3">
        <v>21157</v>
      </c>
      <c r="E71" s="3">
        <v>0</v>
      </c>
      <c r="F71" s="3" t="s">
        <v>333</v>
      </c>
      <c r="G71" s="3" t="s">
        <v>1277</v>
      </c>
      <c r="H71" s="3" t="s">
        <v>669</v>
      </c>
      <c r="I71" s="3" t="s">
        <v>1278</v>
      </c>
      <c r="J71" s="3" t="s">
        <v>336</v>
      </c>
      <c r="K71" s="3" t="s">
        <v>1279</v>
      </c>
      <c r="L71" s="3" t="s">
        <v>1280</v>
      </c>
      <c r="M71" s="3" t="s">
        <v>174</v>
      </c>
      <c r="N71" s="3" t="s">
        <v>1271</v>
      </c>
    </row>
    <row r="72" spans="1:14" x14ac:dyDescent="0.3">
      <c r="A72" s="3" t="s">
        <v>21</v>
      </c>
      <c r="B72" s="3" t="s">
        <v>22</v>
      </c>
      <c r="C72" s="3" t="s">
        <v>23</v>
      </c>
      <c r="D72" s="3">
        <v>21157</v>
      </c>
      <c r="E72" s="3">
        <v>0</v>
      </c>
      <c r="F72" s="3" t="s">
        <v>333</v>
      </c>
      <c r="G72" s="3" t="s">
        <v>1272</v>
      </c>
      <c r="H72" s="3" t="s">
        <v>669</v>
      </c>
      <c r="I72" s="3" t="s">
        <v>1273</v>
      </c>
      <c r="J72" s="3" t="s">
        <v>1274</v>
      </c>
      <c r="K72" s="3" t="s">
        <v>1275</v>
      </c>
      <c r="L72" s="3" t="s">
        <v>1276</v>
      </c>
      <c r="M72" s="3" t="s">
        <v>174</v>
      </c>
      <c r="N72" s="3" t="s">
        <v>562</v>
      </c>
    </row>
    <row r="73" spans="1:14" x14ac:dyDescent="0.3">
      <c r="A73" s="3" t="s">
        <v>21</v>
      </c>
      <c r="B73" s="3" t="s">
        <v>22</v>
      </c>
      <c r="C73" s="3" t="s">
        <v>23</v>
      </c>
      <c r="D73" s="3">
        <v>21157</v>
      </c>
      <c r="E73" s="3">
        <v>3</v>
      </c>
      <c r="F73" s="3" t="s">
        <v>333</v>
      </c>
      <c r="G73" s="3" t="s">
        <v>557</v>
      </c>
      <c r="H73" s="3" t="s">
        <v>170</v>
      </c>
      <c r="I73" s="3" t="s">
        <v>558</v>
      </c>
      <c r="J73" s="3" t="s">
        <v>559</v>
      </c>
      <c r="K73" s="3" t="s">
        <v>560</v>
      </c>
      <c r="L73" s="3" t="s">
        <v>561</v>
      </c>
      <c r="M73" s="3" t="s">
        <v>174</v>
      </c>
      <c r="N73" s="3" t="s">
        <v>562</v>
      </c>
    </row>
    <row r="74" spans="1:14" x14ac:dyDescent="0.3">
      <c r="A74" s="3" t="s">
        <v>21</v>
      </c>
      <c r="B74" s="3" t="s">
        <v>22</v>
      </c>
      <c r="C74" s="3" t="s">
        <v>23</v>
      </c>
      <c r="D74" s="3">
        <v>21157</v>
      </c>
      <c r="E74" s="3">
        <v>2</v>
      </c>
      <c r="F74" s="3" t="s">
        <v>333</v>
      </c>
      <c r="G74" s="3" t="s">
        <v>653</v>
      </c>
      <c r="H74" s="3" t="s">
        <v>600</v>
      </c>
      <c r="I74" s="3"/>
      <c r="J74" s="3"/>
      <c r="K74" s="3" t="s">
        <v>654</v>
      </c>
      <c r="L74" s="3" t="s">
        <v>655</v>
      </c>
      <c r="M74" s="3" t="s">
        <v>174</v>
      </c>
      <c r="N74" s="3" t="s">
        <v>656</v>
      </c>
    </row>
    <row r="75" spans="1:14" x14ac:dyDescent="0.3">
      <c r="A75" s="3" t="s">
        <v>21</v>
      </c>
      <c r="B75" s="3" t="s">
        <v>22</v>
      </c>
      <c r="C75" s="3" t="s">
        <v>23</v>
      </c>
      <c r="D75" s="3">
        <v>21157</v>
      </c>
      <c r="E75" s="3">
        <v>0</v>
      </c>
      <c r="F75" s="3" t="s">
        <v>333</v>
      </c>
      <c r="G75" s="3" t="s">
        <v>1266</v>
      </c>
      <c r="H75" s="3" t="s">
        <v>669</v>
      </c>
      <c r="I75" s="3" t="s">
        <v>1267</v>
      </c>
      <c r="J75" s="3" t="s">
        <v>1268</v>
      </c>
      <c r="K75" s="3" t="s">
        <v>1269</v>
      </c>
      <c r="L75" s="3" t="s">
        <v>1270</v>
      </c>
      <c r="M75" s="3" t="s">
        <v>174</v>
      </c>
      <c r="N75" s="3" t="s">
        <v>1271</v>
      </c>
    </row>
    <row r="76" spans="1:14" x14ac:dyDescent="0.3">
      <c r="A76" s="3" t="s">
        <v>21</v>
      </c>
      <c r="B76" s="3" t="s">
        <v>22</v>
      </c>
      <c r="C76" s="3" t="s">
        <v>23</v>
      </c>
      <c r="D76" s="3">
        <v>21157</v>
      </c>
      <c r="E76" s="3">
        <v>0</v>
      </c>
      <c r="F76" s="3" t="s">
        <v>333</v>
      </c>
      <c r="G76" s="3" t="s">
        <v>1262</v>
      </c>
      <c r="H76" s="3" t="s">
        <v>669</v>
      </c>
      <c r="I76" s="3" t="s">
        <v>1263</v>
      </c>
      <c r="J76" s="3" t="s">
        <v>1264</v>
      </c>
      <c r="K76" s="3" t="s">
        <v>1167</v>
      </c>
      <c r="L76" s="3" t="s">
        <v>1265</v>
      </c>
      <c r="M76" s="3" t="s">
        <v>174</v>
      </c>
      <c r="N76" s="3" t="s">
        <v>532</v>
      </c>
    </row>
    <row r="77" spans="1:14" x14ac:dyDescent="0.3">
      <c r="A77" s="3" t="s">
        <v>21</v>
      </c>
      <c r="B77" s="3" t="s">
        <v>22</v>
      </c>
      <c r="C77" s="3" t="s">
        <v>23</v>
      </c>
      <c r="D77" s="3">
        <v>21157</v>
      </c>
      <c r="E77" s="3">
        <v>0</v>
      </c>
      <c r="F77" s="3" t="s">
        <v>333</v>
      </c>
      <c r="G77" s="3" t="s">
        <v>1257</v>
      </c>
      <c r="H77" s="3" t="s">
        <v>669</v>
      </c>
      <c r="I77" s="3" t="s">
        <v>1258</v>
      </c>
      <c r="J77" s="3" t="s">
        <v>1259</v>
      </c>
      <c r="K77" s="3" t="s">
        <v>1260</v>
      </c>
      <c r="L77" s="3" t="s">
        <v>1261</v>
      </c>
      <c r="M77" s="3" t="s">
        <v>174</v>
      </c>
      <c r="N77" s="3" t="s">
        <v>532</v>
      </c>
    </row>
    <row r="78" spans="1:14" x14ac:dyDescent="0.3">
      <c r="A78" s="3" t="s">
        <v>21</v>
      </c>
      <c r="B78" s="3" t="s">
        <v>22</v>
      </c>
      <c r="C78" s="3" t="s">
        <v>23</v>
      </c>
      <c r="D78" s="3">
        <v>21157</v>
      </c>
      <c r="E78" s="3">
        <v>0</v>
      </c>
      <c r="F78" s="3" t="s">
        <v>333</v>
      </c>
      <c r="G78" s="3" t="s">
        <v>1252</v>
      </c>
      <c r="H78" s="3" t="s">
        <v>669</v>
      </c>
      <c r="I78" s="3" t="s">
        <v>1253</v>
      </c>
      <c r="J78" s="3" t="s">
        <v>1254</v>
      </c>
      <c r="K78" s="3" t="s">
        <v>1255</v>
      </c>
      <c r="L78" s="3" t="s">
        <v>1256</v>
      </c>
      <c r="M78" s="3" t="s">
        <v>174</v>
      </c>
      <c r="N78" s="3" t="s">
        <v>532</v>
      </c>
    </row>
    <row r="79" spans="1:14" x14ac:dyDescent="0.3">
      <c r="A79" s="3" t="s">
        <v>21</v>
      </c>
      <c r="B79" s="3" t="s">
        <v>22</v>
      </c>
      <c r="C79" s="3" t="s">
        <v>23</v>
      </c>
      <c r="D79" s="3">
        <v>21157</v>
      </c>
      <c r="E79" s="3">
        <v>0</v>
      </c>
      <c r="F79" s="3" t="s">
        <v>333</v>
      </c>
      <c r="G79" s="3" t="s">
        <v>1247</v>
      </c>
      <c r="H79" s="3" t="s">
        <v>669</v>
      </c>
      <c r="I79" s="3" t="s">
        <v>1248</v>
      </c>
      <c r="J79" s="3" t="s">
        <v>1249</v>
      </c>
      <c r="K79" s="3" t="s">
        <v>1250</v>
      </c>
      <c r="L79" s="3" t="s">
        <v>1251</v>
      </c>
      <c r="M79" s="3" t="s">
        <v>174</v>
      </c>
      <c r="N79" s="3" t="s">
        <v>532</v>
      </c>
    </row>
    <row r="80" spans="1:14" x14ac:dyDescent="0.3">
      <c r="A80" s="3" t="s">
        <v>21</v>
      </c>
      <c r="B80" s="3" t="s">
        <v>22</v>
      </c>
      <c r="C80" s="3" t="s">
        <v>23</v>
      </c>
      <c r="D80" s="3">
        <v>21157</v>
      </c>
      <c r="E80" s="3">
        <v>0</v>
      </c>
      <c r="F80" s="3" t="s">
        <v>333</v>
      </c>
      <c r="G80" s="3" t="s">
        <v>1242</v>
      </c>
      <c r="H80" s="3" t="s">
        <v>669</v>
      </c>
      <c r="I80" s="3" t="s">
        <v>1243</v>
      </c>
      <c r="J80" s="3" t="s">
        <v>1244</v>
      </c>
      <c r="K80" s="3" t="s">
        <v>1245</v>
      </c>
      <c r="L80" s="3" t="s">
        <v>1246</v>
      </c>
      <c r="M80" s="3" t="s">
        <v>174</v>
      </c>
      <c r="N80" s="3" t="s">
        <v>532</v>
      </c>
    </row>
    <row r="81" spans="1:14" x14ac:dyDescent="0.3">
      <c r="A81" s="3" t="s">
        <v>21</v>
      </c>
      <c r="B81" s="3" t="s">
        <v>22</v>
      </c>
      <c r="C81" s="3" t="s">
        <v>23</v>
      </c>
      <c r="D81" s="3">
        <v>21157</v>
      </c>
      <c r="E81" s="3">
        <v>0</v>
      </c>
      <c r="F81" s="3" t="s">
        <v>333</v>
      </c>
      <c r="G81" s="3" t="s">
        <v>1236</v>
      </c>
      <c r="H81" s="3" t="s">
        <v>669</v>
      </c>
      <c r="I81" s="3" t="s">
        <v>1237</v>
      </c>
      <c r="J81" s="3" t="s">
        <v>1238</v>
      </c>
      <c r="K81" s="3" t="s">
        <v>1239</v>
      </c>
      <c r="L81" s="3" t="s">
        <v>1240</v>
      </c>
      <c r="M81" s="3" t="s">
        <v>174</v>
      </c>
      <c r="N81" s="3" t="s">
        <v>1241</v>
      </c>
    </row>
    <row r="82" spans="1:14" x14ac:dyDescent="0.3">
      <c r="A82" s="3" t="s">
        <v>21</v>
      </c>
      <c r="B82" s="3" t="s">
        <v>22</v>
      </c>
      <c r="C82" s="3" t="s">
        <v>23</v>
      </c>
      <c r="D82" s="3">
        <v>21157</v>
      </c>
      <c r="E82" s="3">
        <v>0</v>
      </c>
      <c r="F82" s="3" t="s">
        <v>333</v>
      </c>
      <c r="G82" s="3" t="s">
        <v>1231</v>
      </c>
      <c r="H82" s="3" t="s">
        <v>669</v>
      </c>
      <c r="I82" s="3" t="s">
        <v>1232</v>
      </c>
      <c r="J82" s="3" t="s">
        <v>1233</v>
      </c>
      <c r="K82" s="3" t="s">
        <v>1234</v>
      </c>
      <c r="L82" s="3" t="s">
        <v>1235</v>
      </c>
      <c r="M82" s="3" t="s">
        <v>174</v>
      </c>
      <c r="N82" s="3" t="s">
        <v>532</v>
      </c>
    </row>
    <row r="83" spans="1:14" x14ac:dyDescent="0.3">
      <c r="A83" s="3" t="s">
        <v>21</v>
      </c>
      <c r="B83" s="3" t="s">
        <v>22</v>
      </c>
      <c r="C83" s="3" t="s">
        <v>23</v>
      </c>
      <c r="D83" s="3">
        <v>21157</v>
      </c>
      <c r="E83" s="3">
        <v>0</v>
      </c>
      <c r="F83" s="3" t="s">
        <v>333</v>
      </c>
      <c r="G83" s="3" t="s">
        <v>1226</v>
      </c>
      <c r="H83" s="3" t="s">
        <v>669</v>
      </c>
      <c r="I83" s="3" t="s">
        <v>1227</v>
      </c>
      <c r="J83" s="3" t="s">
        <v>1228</v>
      </c>
      <c r="K83" s="3" t="s">
        <v>1229</v>
      </c>
      <c r="L83" s="3" t="s">
        <v>1230</v>
      </c>
      <c r="M83" s="3" t="s">
        <v>174</v>
      </c>
      <c r="N83" s="3" t="s">
        <v>532</v>
      </c>
    </row>
    <row r="84" spans="1:14" x14ac:dyDescent="0.3">
      <c r="A84" s="3" t="s">
        <v>21</v>
      </c>
      <c r="B84" s="3" t="s">
        <v>22</v>
      </c>
      <c r="C84" s="3" t="s">
        <v>23</v>
      </c>
      <c r="D84" s="3">
        <v>21157</v>
      </c>
      <c r="E84" s="3">
        <v>0</v>
      </c>
      <c r="F84" s="3" t="s">
        <v>333</v>
      </c>
      <c r="G84" s="3" t="s">
        <v>1222</v>
      </c>
      <c r="H84" s="3" t="s">
        <v>669</v>
      </c>
      <c r="I84" s="3" t="s">
        <v>1223</v>
      </c>
      <c r="J84" s="3" t="s">
        <v>669</v>
      </c>
      <c r="K84" s="3" t="s">
        <v>1224</v>
      </c>
      <c r="L84" s="3" t="s">
        <v>1225</v>
      </c>
      <c r="M84" s="3" t="s">
        <v>174</v>
      </c>
      <c r="N84" s="3" t="s">
        <v>532</v>
      </c>
    </row>
    <row r="85" spans="1:14" x14ac:dyDescent="0.3">
      <c r="A85" s="3" t="s">
        <v>21</v>
      </c>
      <c r="B85" s="3" t="s">
        <v>22</v>
      </c>
      <c r="C85" s="3" t="s">
        <v>23</v>
      </c>
      <c r="D85" s="3">
        <v>21157</v>
      </c>
      <c r="E85" s="3">
        <v>0</v>
      </c>
      <c r="F85" s="3" t="s">
        <v>333</v>
      </c>
      <c r="G85" s="3" t="s">
        <v>1217</v>
      </c>
      <c r="H85" s="3" t="s">
        <v>669</v>
      </c>
      <c r="I85" s="3" t="s">
        <v>1218</v>
      </c>
      <c r="J85" s="3" t="s">
        <v>1219</v>
      </c>
      <c r="K85" s="3" t="s">
        <v>1220</v>
      </c>
      <c r="L85" s="3" t="s">
        <v>1221</v>
      </c>
      <c r="M85" s="3" t="s">
        <v>174</v>
      </c>
      <c r="N85" s="3" t="s">
        <v>532</v>
      </c>
    </row>
    <row r="86" spans="1:14" x14ac:dyDescent="0.3">
      <c r="A86" s="3" t="s">
        <v>21</v>
      </c>
      <c r="B86" s="3" t="s">
        <v>22</v>
      </c>
      <c r="C86" s="3" t="s">
        <v>23</v>
      </c>
      <c r="D86" s="3">
        <v>21157</v>
      </c>
      <c r="E86" s="3">
        <v>0</v>
      </c>
      <c r="F86" s="3" t="s">
        <v>333</v>
      </c>
      <c r="G86" s="3" t="s">
        <v>1212</v>
      </c>
      <c r="H86" s="3" t="s">
        <v>669</v>
      </c>
      <c r="I86" s="3" t="s">
        <v>1213</v>
      </c>
      <c r="J86" s="3" t="s">
        <v>1214</v>
      </c>
      <c r="K86" s="3" t="s">
        <v>1215</v>
      </c>
      <c r="L86" s="3" t="s">
        <v>1216</v>
      </c>
      <c r="M86" s="3" t="s">
        <v>174</v>
      </c>
      <c r="N86" s="3" t="s">
        <v>532</v>
      </c>
    </row>
    <row r="87" spans="1:14" x14ac:dyDescent="0.3">
      <c r="A87" s="3" t="s">
        <v>21</v>
      </c>
      <c r="B87" s="3" t="s">
        <v>22</v>
      </c>
      <c r="C87" s="3" t="s">
        <v>23</v>
      </c>
      <c r="D87" s="3">
        <v>21157</v>
      </c>
      <c r="E87" s="3">
        <v>0</v>
      </c>
      <c r="F87" s="3" t="s">
        <v>168</v>
      </c>
      <c r="G87" s="3" t="s">
        <v>740</v>
      </c>
      <c r="H87" s="3" t="s">
        <v>669</v>
      </c>
      <c r="I87" s="3" t="s">
        <v>741</v>
      </c>
      <c r="J87" s="3" t="s">
        <v>742</v>
      </c>
      <c r="K87" s="3" t="s">
        <v>743</v>
      </c>
      <c r="L87" s="3" t="s">
        <v>744</v>
      </c>
      <c r="M87" s="3" t="s">
        <v>174</v>
      </c>
      <c r="N87" s="3" t="s">
        <v>717</v>
      </c>
    </row>
    <row r="88" spans="1:14" x14ac:dyDescent="0.3">
      <c r="A88" s="3" t="s">
        <v>21</v>
      </c>
      <c r="B88" s="3" t="s">
        <v>22</v>
      </c>
      <c r="C88" s="3" t="s">
        <v>23</v>
      </c>
      <c r="D88" s="3">
        <v>21157</v>
      </c>
      <c r="E88" s="3">
        <v>0</v>
      </c>
      <c r="F88" s="3" t="s">
        <v>333</v>
      </c>
      <c r="G88" s="3" t="s">
        <v>1208</v>
      </c>
      <c r="H88" s="3" t="s">
        <v>669</v>
      </c>
      <c r="I88" s="3" t="s">
        <v>1209</v>
      </c>
      <c r="J88" s="3" t="s">
        <v>669</v>
      </c>
      <c r="K88" s="3" t="s">
        <v>1210</v>
      </c>
      <c r="L88" s="3" t="s">
        <v>1211</v>
      </c>
      <c r="M88" s="3" t="s">
        <v>174</v>
      </c>
      <c r="N88" s="3" t="s">
        <v>532</v>
      </c>
    </row>
    <row r="89" spans="1:14" x14ac:dyDescent="0.3">
      <c r="A89" s="3" t="s">
        <v>21</v>
      </c>
      <c r="B89" s="3" t="s">
        <v>22</v>
      </c>
      <c r="C89" s="3" t="s">
        <v>23</v>
      </c>
      <c r="D89" s="3">
        <v>21157</v>
      </c>
      <c r="E89" s="3">
        <v>2</v>
      </c>
      <c r="F89" s="3" t="s">
        <v>333</v>
      </c>
      <c r="G89" s="3" t="s">
        <v>648</v>
      </c>
      <c r="H89" s="3" t="s">
        <v>593</v>
      </c>
      <c r="I89" s="3" t="s">
        <v>649</v>
      </c>
      <c r="J89" s="3" t="s">
        <v>650</v>
      </c>
      <c r="K89" s="3" t="s">
        <v>651</v>
      </c>
      <c r="L89" s="3" t="s">
        <v>652</v>
      </c>
      <c r="M89" s="3" t="s">
        <v>174</v>
      </c>
      <c r="N89" s="3" t="s">
        <v>647</v>
      </c>
    </row>
    <row r="90" spans="1:14" x14ac:dyDescent="0.3">
      <c r="A90" s="3" t="s">
        <v>21</v>
      </c>
      <c r="B90" s="3" t="s">
        <v>22</v>
      </c>
      <c r="C90" s="3" t="s">
        <v>23</v>
      </c>
      <c r="D90" s="3">
        <v>21157</v>
      </c>
      <c r="E90" s="3">
        <v>0</v>
      </c>
      <c r="F90" s="3" t="s">
        <v>333</v>
      </c>
      <c r="G90" s="3" t="s">
        <v>1203</v>
      </c>
      <c r="H90" s="3" t="s">
        <v>669</v>
      </c>
      <c r="I90" s="3" t="s">
        <v>1204</v>
      </c>
      <c r="J90" s="3" t="s">
        <v>1205</v>
      </c>
      <c r="K90" s="3" t="s">
        <v>1206</v>
      </c>
      <c r="L90" s="3" t="s">
        <v>1207</v>
      </c>
      <c r="M90" s="3" t="s">
        <v>174</v>
      </c>
      <c r="N90" s="3" t="s">
        <v>532</v>
      </c>
    </row>
    <row r="91" spans="1:14" x14ac:dyDescent="0.3">
      <c r="A91" s="3" t="s">
        <v>21</v>
      </c>
      <c r="B91" s="3" t="s">
        <v>22</v>
      </c>
      <c r="C91" s="3" t="s">
        <v>23</v>
      </c>
      <c r="D91" s="3">
        <v>21157</v>
      </c>
      <c r="E91" s="3">
        <v>0</v>
      </c>
      <c r="F91" s="3" t="s">
        <v>333</v>
      </c>
      <c r="G91" s="3" t="s">
        <v>1198</v>
      </c>
      <c r="H91" s="3" t="s">
        <v>669</v>
      </c>
      <c r="I91" s="3" t="s">
        <v>1199</v>
      </c>
      <c r="J91" s="3" t="s">
        <v>1200</v>
      </c>
      <c r="K91" s="3" t="s">
        <v>1201</v>
      </c>
      <c r="L91" s="3" t="s">
        <v>1202</v>
      </c>
      <c r="M91" s="3" t="s">
        <v>174</v>
      </c>
      <c r="N91" s="3" t="s">
        <v>532</v>
      </c>
    </row>
    <row r="92" spans="1:14" x14ac:dyDescent="0.3">
      <c r="A92" s="3" t="s">
        <v>21</v>
      </c>
      <c r="B92" s="3" t="s">
        <v>22</v>
      </c>
      <c r="C92" s="3" t="s">
        <v>23</v>
      </c>
      <c r="D92" s="3">
        <v>21157</v>
      </c>
      <c r="E92" s="3">
        <v>0</v>
      </c>
      <c r="F92" s="3" t="s">
        <v>333</v>
      </c>
      <c r="G92" s="3" t="s">
        <v>1193</v>
      </c>
      <c r="H92" s="3" t="s">
        <v>669</v>
      </c>
      <c r="I92" s="3" t="s">
        <v>1194</v>
      </c>
      <c r="J92" s="3" t="s">
        <v>1195</v>
      </c>
      <c r="K92" s="3" t="s">
        <v>1196</v>
      </c>
      <c r="L92" s="3" t="s">
        <v>1197</v>
      </c>
      <c r="M92" s="3" t="s">
        <v>174</v>
      </c>
      <c r="N92" s="3" t="s">
        <v>532</v>
      </c>
    </row>
    <row r="93" spans="1:14" x14ac:dyDescent="0.3">
      <c r="A93" s="3" t="s">
        <v>21</v>
      </c>
      <c r="B93" s="3" t="s">
        <v>22</v>
      </c>
      <c r="C93" s="3" t="s">
        <v>23</v>
      </c>
      <c r="D93" s="3">
        <v>21157</v>
      </c>
      <c r="E93" s="3">
        <v>0</v>
      </c>
      <c r="F93" s="3" t="s">
        <v>333</v>
      </c>
      <c r="G93" s="3" t="s">
        <v>1188</v>
      </c>
      <c r="H93" s="3" t="s">
        <v>669</v>
      </c>
      <c r="I93" s="3" t="s">
        <v>1189</v>
      </c>
      <c r="J93" s="3" t="s">
        <v>1190</v>
      </c>
      <c r="K93" s="3" t="s">
        <v>1191</v>
      </c>
      <c r="L93" s="3" t="s">
        <v>1192</v>
      </c>
      <c r="M93" s="3" t="s">
        <v>174</v>
      </c>
      <c r="N93" s="3" t="s">
        <v>532</v>
      </c>
    </row>
    <row r="94" spans="1:14" x14ac:dyDescent="0.3">
      <c r="A94" s="3" t="s">
        <v>21</v>
      </c>
      <c r="B94" s="3" t="s">
        <v>22</v>
      </c>
      <c r="C94" s="3" t="s">
        <v>23</v>
      </c>
      <c r="D94" s="3">
        <v>21157</v>
      </c>
      <c r="E94" s="3">
        <v>0</v>
      </c>
      <c r="F94" s="3" t="s">
        <v>333</v>
      </c>
      <c r="G94" s="3" t="s">
        <v>1183</v>
      </c>
      <c r="H94" s="3" t="s">
        <v>669</v>
      </c>
      <c r="I94" s="3" t="s">
        <v>1184</v>
      </c>
      <c r="J94" s="3" t="s">
        <v>1185</v>
      </c>
      <c r="K94" s="3" t="s">
        <v>1186</v>
      </c>
      <c r="L94" s="3" t="s">
        <v>1187</v>
      </c>
      <c r="M94" s="3" t="s">
        <v>174</v>
      </c>
      <c r="N94" s="3" t="s">
        <v>532</v>
      </c>
    </row>
    <row r="95" spans="1:14" x14ac:dyDescent="0.3">
      <c r="A95" s="3" t="s">
        <v>21</v>
      </c>
      <c r="B95" s="3" t="s">
        <v>22</v>
      </c>
      <c r="C95" s="3" t="s">
        <v>23</v>
      </c>
      <c r="D95" s="3">
        <v>21157</v>
      </c>
      <c r="E95" s="3">
        <v>0</v>
      </c>
      <c r="F95" s="3" t="s">
        <v>333</v>
      </c>
      <c r="G95" s="3" t="s">
        <v>1179</v>
      </c>
      <c r="H95" s="3" t="s">
        <v>669</v>
      </c>
      <c r="I95" s="3" t="s">
        <v>1180</v>
      </c>
      <c r="J95" s="3" t="s">
        <v>669</v>
      </c>
      <c r="K95" s="3" t="s">
        <v>1181</v>
      </c>
      <c r="L95" s="3" t="s">
        <v>1182</v>
      </c>
      <c r="M95" s="3" t="s">
        <v>174</v>
      </c>
      <c r="N95" s="3" t="s">
        <v>532</v>
      </c>
    </row>
    <row r="96" spans="1:14" x14ac:dyDescent="0.3">
      <c r="A96" s="3" t="s">
        <v>21</v>
      </c>
      <c r="B96" s="3" t="s">
        <v>22</v>
      </c>
      <c r="C96" s="3" t="s">
        <v>23</v>
      </c>
      <c r="D96" s="3">
        <v>21157</v>
      </c>
      <c r="E96" s="3">
        <v>0</v>
      </c>
      <c r="F96" s="3" t="s">
        <v>333</v>
      </c>
      <c r="G96" s="3" t="s">
        <v>1174</v>
      </c>
      <c r="H96" s="3" t="s">
        <v>669</v>
      </c>
      <c r="I96" s="3" t="s">
        <v>1175</v>
      </c>
      <c r="J96" s="3" t="s">
        <v>1176</v>
      </c>
      <c r="K96" s="3" t="s">
        <v>1177</v>
      </c>
      <c r="L96" s="3" t="s">
        <v>1178</v>
      </c>
      <c r="M96" s="3" t="s">
        <v>174</v>
      </c>
      <c r="N96" s="3" t="s">
        <v>532</v>
      </c>
    </row>
    <row r="97" spans="1:14" x14ac:dyDescent="0.3">
      <c r="A97" s="3" t="s">
        <v>21</v>
      </c>
      <c r="B97" s="3" t="s">
        <v>22</v>
      </c>
      <c r="C97" s="3" t="s">
        <v>23</v>
      </c>
      <c r="D97" s="3">
        <v>21157</v>
      </c>
      <c r="E97" s="3">
        <v>0</v>
      </c>
      <c r="F97" s="3" t="s">
        <v>333</v>
      </c>
      <c r="G97" s="3" t="s">
        <v>1169</v>
      </c>
      <c r="H97" s="3" t="s">
        <v>669</v>
      </c>
      <c r="I97" s="3" t="s">
        <v>1170</v>
      </c>
      <c r="J97" s="3" t="s">
        <v>1171</v>
      </c>
      <c r="K97" s="3" t="s">
        <v>1172</v>
      </c>
      <c r="L97" s="3" t="s">
        <v>1173</v>
      </c>
      <c r="M97" s="3" t="s">
        <v>174</v>
      </c>
      <c r="N97" s="3" t="s">
        <v>532</v>
      </c>
    </row>
    <row r="98" spans="1:14" x14ac:dyDescent="0.3">
      <c r="A98" s="3" t="s">
        <v>21</v>
      </c>
      <c r="B98" s="3" t="s">
        <v>22</v>
      </c>
      <c r="C98" s="3" t="s">
        <v>23</v>
      </c>
      <c r="D98" s="3">
        <v>21157</v>
      </c>
      <c r="E98" s="3">
        <v>0</v>
      </c>
      <c r="F98" s="3" t="s">
        <v>168</v>
      </c>
      <c r="G98" s="3" t="s">
        <v>734</v>
      </c>
      <c r="H98" s="3" t="s">
        <v>669</v>
      </c>
      <c r="I98" s="3" t="s">
        <v>735</v>
      </c>
      <c r="J98" s="3" t="s">
        <v>736</v>
      </c>
      <c r="K98" s="3" t="s">
        <v>737</v>
      </c>
      <c r="L98" s="3" t="s">
        <v>738</v>
      </c>
      <c r="M98" s="3" t="s">
        <v>174</v>
      </c>
      <c r="N98" s="3" t="s">
        <v>739</v>
      </c>
    </row>
    <row r="99" spans="1:14" x14ac:dyDescent="0.3">
      <c r="A99" s="3" t="s">
        <v>21</v>
      </c>
      <c r="B99" s="3" t="s">
        <v>22</v>
      </c>
      <c r="C99" s="3" t="s">
        <v>23</v>
      </c>
      <c r="D99" s="3">
        <v>21157</v>
      </c>
      <c r="E99" s="3">
        <v>0</v>
      </c>
      <c r="F99" s="3" t="s">
        <v>333</v>
      </c>
      <c r="G99" s="3" t="s">
        <v>1164</v>
      </c>
      <c r="H99" s="3" t="s">
        <v>669</v>
      </c>
      <c r="I99" s="3" t="s">
        <v>1165</v>
      </c>
      <c r="J99" s="3" t="s">
        <v>1166</v>
      </c>
      <c r="K99" s="3" t="s">
        <v>1167</v>
      </c>
      <c r="L99" s="3" t="s">
        <v>1168</v>
      </c>
      <c r="M99" s="3" t="s">
        <v>174</v>
      </c>
      <c r="N99" s="3" t="s">
        <v>532</v>
      </c>
    </row>
    <row r="100" spans="1:14" x14ac:dyDescent="0.3">
      <c r="A100" s="3" t="s">
        <v>21</v>
      </c>
      <c r="B100" s="3" t="s">
        <v>22</v>
      </c>
      <c r="C100" s="3" t="s">
        <v>23</v>
      </c>
      <c r="D100" s="3">
        <v>21157</v>
      </c>
      <c r="E100" s="3">
        <v>0</v>
      </c>
      <c r="F100" s="3" t="s">
        <v>333</v>
      </c>
      <c r="G100" s="3" t="s">
        <v>1158</v>
      </c>
      <c r="H100" s="3" t="s">
        <v>669</v>
      </c>
      <c r="I100" s="3" t="s">
        <v>1159</v>
      </c>
      <c r="J100" s="3" t="s">
        <v>1160</v>
      </c>
      <c r="K100" s="3" t="s">
        <v>1161</v>
      </c>
      <c r="L100" s="3" t="s">
        <v>1162</v>
      </c>
      <c r="M100" s="3" t="s">
        <v>174</v>
      </c>
      <c r="N100" s="3" t="s">
        <v>1163</v>
      </c>
    </row>
    <row r="101" spans="1:14" x14ac:dyDescent="0.3">
      <c r="A101" s="3" t="s">
        <v>21</v>
      </c>
      <c r="B101" s="3" t="s">
        <v>22</v>
      </c>
      <c r="C101" s="3" t="s">
        <v>23</v>
      </c>
      <c r="D101" s="3">
        <v>21157</v>
      </c>
      <c r="E101" s="3">
        <v>0</v>
      </c>
      <c r="F101" s="3" t="s">
        <v>333</v>
      </c>
      <c r="G101" s="3" t="s">
        <v>1153</v>
      </c>
      <c r="H101" s="3" t="s">
        <v>669</v>
      </c>
      <c r="I101" s="3" t="s">
        <v>1154</v>
      </c>
      <c r="J101" s="3" t="s">
        <v>1155</v>
      </c>
      <c r="K101" s="3" t="s">
        <v>1156</v>
      </c>
      <c r="L101" s="3" t="s">
        <v>1157</v>
      </c>
      <c r="M101" s="3" t="s">
        <v>174</v>
      </c>
      <c r="N101" s="3" t="s">
        <v>532</v>
      </c>
    </row>
    <row r="102" spans="1:14" x14ac:dyDescent="0.3">
      <c r="A102" s="3" t="s">
        <v>21</v>
      </c>
      <c r="B102" s="3" t="s">
        <v>22</v>
      </c>
      <c r="C102" s="3" t="s">
        <v>23</v>
      </c>
      <c r="D102" s="3">
        <v>21157</v>
      </c>
      <c r="E102" s="3">
        <v>2</v>
      </c>
      <c r="F102" s="3" t="s">
        <v>333</v>
      </c>
      <c r="G102" s="3" t="s">
        <v>642</v>
      </c>
      <c r="H102" s="3" t="s">
        <v>593</v>
      </c>
      <c r="I102" s="3" t="s">
        <v>643</v>
      </c>
      <c r="J102" s="3" t="s">
        <v>644</v>
      </c>
      <c r="K102" s="3" t="s">
        <v>645</v>
      </c>
      <c r="L102" s="3" t="s">
        <v>646</v>
      </c>
      <c r="M102" s="3" t="s">
        <v>174</v>
      </c>
      <c r="N102" s="3" t="s">
        <v>647</v>
      </c>
    </row>
    <row r="103" spans="1:14" x14ac:dyDescent="0.3">
      <c r="A103" s="3" t="s">
        <v>21</v>
      </c>
      <c r="B103" s="3" t="s">
        <v>22</v>
      </c>
      <c r="C103" s="3" t="s">
        <v>23</v>
      </c>
      <c r="D103" s="3">
        <v>21157</v>
      </c>
      <c r="E103" s="3">
        <v>0</v>
      </c>
      <c r="F103" s="3" t="s">
        <v>333</v>
      </c>
      <c r="G103" s="3" t="s">
        <v>1148</v>
      </c>
      <c r="H103" s="3" t="s">
        <v>669</v>
      </c>
      <c r="I103" s="3" t="s">
        <v>1149</v>
      </c>
      <c r="J103" s="3" t="s">
        <v>352</v>
      </c>
      <c r="K103" s="3" t="s">
        <v>1150</v>
      </c>
      <c r="L103" s="3" t="s">
        <v>1151</v>
      </c>
      <c r="M103" s="3" t="s">
        <v>174</v>
      </c>
      <c r="N103" s="3" t="s">
        <v>1152</v>
      </c>
    </row>
    <row r="104" spans="1:14" x14ac:dyDescent="0.3">
      <c r="A104" s="3" t="s">
        <v>21</v>
      </c>
      <c r="B104" s="3" t="s">
        <v>22</v>
      </c>
      <c r="C104" s="3" t="s">
        <v>23</v>
      </c>
      <c r="D104" s="3">
        <v>21157</v>
      </c>
      <c r="E104" s="3">
        <v>0</v>
      </c>
      <c r="F104" s="3" t="s">
        <v>333</v>
      </c>
      <c r="G104" s="3" t="s">
        <v>1143</v>
      </c>
      <c r="H104" s="3" t="s">
        <v>669</v>
      </c>
      <c r="I104" s="3" t="s">
        <v>1144</v>
      </c>
      <c r="J104" s="3" t="s">
        <v>1145</v>
      </c>
      <c r="K104" s="3" t="s">
        <v>1146</v>
      </c>
      <c r="L104" s="3" t="s">
        <v>1147</v>
      </c>
      <c r="M104" s="3" t="s">
        <v>174</v>
      </c>
      <c r="N104" s="3" t="s">
        <v>532</v>
      </c>
    </row>
    <row r="105" spans="1:14" x14ac:dyDescent="0.3">
      <c r="A105" s="3" t="s">
        <v>21</v>
      </c>
      <c r="B105" s="3" t="s">
        <v>22</v>
      </c>
      <c r="C105" s="3" t="s">
        <v>23</v>
      </c>
      <c r="D105" s="3">
        <v>21157</v>
      </c>
      <c r="E105" s="3">
        <v>0</v>
      </c>
      <c r="F105" s="3" t="s">
        <v>168</v>
      </c>
      <c r="G105" s="3" t="s">
        <v>730</v>
      </c>
      <c r="H105" s="3" t="s">
        <v>669</v>
      </c>
      <c r="I105" s="3" t="s">
        <v>731</v>
      </c>
      <c r="J105" s="3" t="s">
        <v>336</v>
      </c>
      <c r="K105" s="3" t="s">
        <v>732</v>
      </c>
      <c r="L105" s="3" t="s">
        <v>733</v>
      </c>
      <c r="M105" s="3" t="s">
        <v>174</v>
      </c>
      <c r="N105" s="3" t="s">
        <v>717</v>
      </c>
    </row>
    <row r="106" spans="1:14" x14ac:dyDescent="0.3">
      <c r="A106" s="3" t="s">
        <v>21</v>
      </c>
      <c r="B106" s="3" t="s">
        <v>22</v>
      </c>
      <c r="C106" s="3" t="s">
        <v>23</v>
      </c>
      <c r="D106" s="3">
        <v>21157</v>
      </c>
      <c r="E106" s="3">
        <v>0</v>
      </c>
      <c r="F106" s="3" t="s">
        <v>168</v>
      </c>
      <c r="G106" s="3" t="s">
        <v>726</v>
      </c>
      <c r="H106" s="3" t="s">
        <v>669</v>
      </c>
      <c r="I106" s="3" t="s">
        <v>727</v>
      </c>
      <c r="J106" s="3" t="s">
        <v>336</v>
      </c>
      <c r="K106" s="3" t="s">
        <v>728</v>
      </c>
      <c r="L106" s="3" t="s">
        <v>729</v>
      </c>
      <c r="M106" s="3" t="s">
        <v>174</v>
      </c>
      <c r="N106" s="3" t="s">
        <v>717</v>
      </c>
    </row>
    <row r="107" spans="1:14" x14ac:dyDescent="0.3">
      <c r="A107" s="3" t="s">
        <v>21</v>
      </c>
      <c r="B107" s="3" t="s">
        <v>22</v>
      </c>
      <c r="C107" s="3" t="s">
        <v>23</v>
      </c>
      <c r="D107" s="3">
        <v>21157</v>
      </c>
      <c r="E107" s="3">
        <v>0</v>
      </c>
      <c r="F107" s="3" t="s">
        <v>168</v>
      </c>
      <c r="G107" s="3" t="s">
        <v>722</v>
      </c>
      <c r="H107" s="3" t="s">
        <v>669</v>
      </c>
      <c r="I107" s="3" t="s">
        <v>723</v>
      </c>
      <c r="J107" s="3" t="s">
        <v>336</v>
      </c>
      <c r="K107" s="3" t="s">
        <v>724</v>
      </c>
      <c r="L107" s="3" t="s">
        <v>725</v>
      </c>
      <c r="M107" s="3" t="s">
        <v>174</v>
      </c>
      <c r="N107" s="3" t="s">
        <v>717</v>
      </c>
    </row>
    <row r="108" spans="1:14" x14ac:dyDescent="0.3">
      <c r="A108" s="3" t="s">
        <v>21</v>
      </c>
      <c r="B108" s="3" t="s">
        <v>22</v>
      </c>
      <c r="C108" s="3" t="s">
        <v>23</v>
      </c>
      <c r="D108" s="3">
        <v>21157</v>
      </c>
      <c r="E108" s="3">
        <v>0</v>
      </c>
      <c r="F108" s="3" t="s">
        <v>168</v>
      </c>
      <c r="G108" s="3" t="s">
        <v>718</v>
      </c>
      <c r="H108" s="3" t="s">
        <v>669</v>
      </c>
      <c r="I108" s="3" t="s">
        <v>719</v>
      </c>
      <c r="J108" s="3" t="s">
        <v>336</v>
      </c>
      <c r="K108" s="3" t="s">
        <v>720</v>
      </c>
      <c r="L108" s="3" t="s">
        <v>721</v>
      </c>
      <c r="M108" s="3" t="s">
        <v>174</v>
      </c>
      <c r="N108" s="3" t="s">
        <v>717</v>
      </c>
    </row>
    <row r="109" spans="1:14" x14ac:dyDescent="0.3">
      <c r="A109" s="3" t="s">
        <v>21</v>
      </c>
      <c r="B109" s="3" t="s">
        <v>22</v>
      </c>
      <c r="C109" s="3" t="s">
        <v>23</v>
      </c>
      <c r="D109" s="3">
        <v>21157</v>
      </c>
      <c r="E109" s="3">
        <v>3</v>
      </c>
      <c r="F109" s="3" t="s">
        <v>333</v>
      </c>
      <c r="G109" s="3" t="s">
        <v>553</v>
      </c>
      <c r="H109" s="3" t="s">
        <v>170</v>
      </c>
      <c r="I109" s="3" t="s">
        <v>554</v>
      </c>
      <c r="J109" s="3" t="s">
        <v>352</v>
      </c>
      <c r="K109" s="3" t="s">
        <v>555</v>
      </c>
      <c r="L109" s="3" t="s">
        <v>556</v>
      </c>
      <c r="M109" s="3" t="s">
        <v>174</v>
      </c>
      <c r="N109" s="3" t="s">
        <v>532</v>
      </c>
    </row>
    <row r="110" spans="1:14" x14ac:dyDescent="0.3">
      <c r="A110" s="3" t="s">
        <v>21</v>
      </c>
      <c r="B110" s="3" t="s">
        <v>22</v>
      </c>
      <c r="C110" s="3" t="s">
        <v>23</v>
      </c>
      <c r="D110" s="3">
        <v>21157</v>
      </c>
      <c r="E110" s="3">
        <v>3</v>
      </c>
      <c r="F110" s="3" t="s">
        <v>333</v>
      </c>
      <c r="G110" s="3" t="s">
        <v>549</v>
      </c>
      <c r="H110" s="3" t="s">
        <v>170</v>
      </c>
      <c r="I110" s="3" t="s">
        <v>550</v>
      </c>
      <c r="J110" s="3" t="s">
        <v>352</v>
      </c>
      <c r="K110" s="3" t="s">
        <v>551</v>
      </c>
      <c r="L110" s="3" t="s">
        <v>552</v>
      </c>
      <c r="M110" s="3" t="s">
        <v>174</v>
      </c>
      <c r="N110" s="3" t="s">
        <v>532</v>
      </c>
    </row>
    <row r="111" spans="1:14" x14ac:dyDescent="0.3">
      <c r="A111" s="3" t="s">
        <v>21</v>
      </c>
      <c r="B111" s="3" t="s">
        <v>22</v>
      </c>
      <c r="C111" s="3" t="s">
        <v>23</v>
      </c>
      <c r="D111" s="3">
        <v>21157</v>
      </c>
      <c r="E111" s="3">
        <v>0</v>
      </c>
      <c r="F111" s="3" t="s">
        <v>333</v>
      </c>
      <c r="G111" s="3" t="s">
        <v>1139</v>
      </c>
      <c r="H111" s="3" t="s">
        <v>669</v>
      </c>
      <c r="I111" s="3" t="s">
        <v>1140</v>
      </c>
      <c r="J111" s="3" t="s">
        <v>352</v>
      </c>
      <c r="K111" s="3" t="s">
        <v>1141</v>
      </c>
      <c r="L111" s="3" t="s">
        <v>1142</v>
      </c>
      <c r="M111" s="3" t="s">
        <v>174</v>
      </c>
      <c r="N111" s="3" t="s">
        <v>532</v>
      </c>
    </row>
    <row r="112" spans="1:14" x14ac:dyDescent="0.3">
      <c r="A112" s="3" t="s">
        <v>21</v>
      </c>
      <c r="B112" s="3" t="s">
        <v>22</v>
      </c>
      <c r="C112" s="3" t="s">
        <v>23</v>
      </c>
      <c r="D112" s="3">
        <v>21157</v>
      </c>
      <c r="E112" s="3">
        <v>3</v>
      </c>
      <c r="F112" s="3" t="s">
        <v>333</v>
      </c>
      <c r="G112" s="3" t="s">
        <v>545</v>
      </c>
      <c r="H112" s="3" t="s">
        <v>170</v>
      </c>
      <c r="I112" s="3" t="s">
        <v>546</v>
      </c>
      <c r="J112" s="3" t="s">
        <v>352</v>
      </c>
      <c r="K112" s="3" t="s">
        <v>547</v>
      </c>
      <c r="L112" s="3" t="s">
        <v>548</v>
      </c>
      <c r="M112" s="3" t="s">
        <v>174</v>
      </c>
      <c r="N112" s="3" t="s">
        <v>532</v>
      </c>
    </row>
    <row r="113" spans="1:14" x14ac:dyDescent="0.3">
      <c r="A113" s="3" t="s">
        <v>21</v>
      </c>
      <c r="B113" s="3" t="s">
        <v>22</v>
      </c>
      <c r="C113" s="3" t="s">
        <v>23</v>
      </c>
      <c r="D113" s="3">
        <v>21157</v>
      </c>
      <c r="E113" s="3">
        <v>3</v>
      </c>
      <c r="F113" s="3" t="s">
        <v>333</v>
      </c>
      <c r="G113" s="3" t="s">
        <v>541</v>
      </c>
      <c r="H113" s="3" t="s">
        <v>170</v>
      </c>
      <c r="I113" s="3" t="s">
        <v>542</v>
      </c>
      <c r="J113" s="3" t="s">
        <v>352</v>
      </c>
      <c r="K113" s="3" t="s">
        <v>543</v>
      </c>
      <c r="L113" s="3" t="s">
        <v>544</v>
      </c>
      <c r="M113" s="3" t="s">
        <v>174</v>
      </c>
      <c r="N113" s="3" t="s">
        <v>532</v>
      </c>
    </row>
    <row r="114" spans="1:14" x14ac:dyDescent="0.3">
      <c r="A114" s="3" t="s">
        <v>21</v>
      </c>
      <c r="B114" s="3" t="s">
        <v>22</v>
      </c>
      <c r="C114" s="3" t="s">
        <v>23</v>
      </c>
      <c r="D114" s="3">
        <v>21157</v>
      </c>
      <c r="E114" s="3">
        <v>3</v>
      </c>
      <c r="F114" s="3" t="s">
        <v>333</v>
      </c>
      <c r="G114" s="3" t="s">
        <v>537</v>
      </c>
      <c r="H114" s="3" t="s">
        <v>170</v>
      </c>
      <c r="I114" s="3" t="s">
        <v>538</v>
      </c>
      <c r="J114" s="3" t="s">
        <v>352</v>
      </c>
      <c r="K114" s="3" t="s">
        <v>539</v>
      </c>
      <c r="L114" s="3" t="s">
        <v>540</v>
      </c>
      <c r="M114" s="3" t="s">
        <v>174</v>
      </c>
      <c r="N114" s="3" t="s">
        <v>532</v>
      </c>
    </row>
    <row r="115" spans="1:14" x14ac:dyDescent="0.3">
      <c r="A115" s="3" t="s">
        <v>21</v>
      </c>
      <c r="B115" s="3" t="s">
        <v>22</v>
      </c>
      <c r="C115" s="3" t="s">
        <v>23</v>
      </c>
      <c r="D115" s="3">
        <v>21157</v>
      </c>
      <c r="E115" s="3">
        <v>3</v>
      </c>
      <c r="F115" s="3" t="s">
        <v>333</v>
      </c>
      <c r="G115" s="3" t="s">
        <v>533</v>
      </c>
      <c r="H115" s="3" t="s">
        <v>170</v>
      </c>
      <c r="I115" s="3" t="s">
        <v>534</v>
      </c>
      <c r="J115" s="3" t="s">
        <v>352</v>
      </c>
      <c r="K115" s="3" t="s">
        <v>535</v>
      </c>
      <c r="L115" s="3" t="s">
        <v>536</v>
      </c>
      <c r="M115" s="3" t="s">
        <v>174</v>
      </c>
      <c r="N115" s="3" t="s">
        <v>532</v>
      </c>
    </row>
    <row r="116" spans="1:14" x14ac:dyDescent="0.3">
      <c r="A116" s="3" t="s">
        <v>21</v>
      </c>
      <c r="B116" s="3" t="s">
        <v>22</v>
      </c>
      <c r="C116" s="3" t="s">
        <v>23</v>
      </c>
      <c r="D116" s="3">
        <v>21157</v>
      </c>
      <c r="E116" s="3">
        <v>3</v>
      </c>
      <c r="F116" s="3" t="s">
        <v>333</v>
      </c>
      <c r="G116" s="3" t="s">
        <v>528</v>
      </c>
      <c r="H116" s="3" t="s">
        <v>170</v>
      </c>
      <c r="I116" s="3" t="s">
        <v>529</v>
      </c>
      <c r="J116" s="3" t="s">
        <v>352</v>
      </c>
      <c r="K116" s="3" t="s">
        <v>530</v>
      </c>
      <c r="L116" s="3" t="s">
        <v>531</v>
      </c>
      <c r="M116" s="3" t="s">
        <v>174</v>
      </c>
      <c r="N116" s="3" t="s">
        <v>532</v>
      </c>
    </row>
    <row r="117" spans="1:14" x14ac:dyDescent="0.3">
      <c r="A117" s="3" t="s">
        <v>21</v>
      </c>
      <c r="B117" s="3" t="s">
        <v>22</v>
      </c>
      <c r="C117" s="3" t="s">
        <v>23</v>
      </c>
      <c r="D117" s="3">
        <v>21157</v>
      </c>
      <c r="E117" s="3">
        <v>0</v>
      </c>
      <c r="F117" s="3" t="s">
        <v>333</v>
      </c>
      <c r="G117" s="3" t="s">
        <v>1135</v>
      </c>
      <c r="H117" s="3" t="s">
        <v>669</v>
      </c>
      <c r="I117" s="3" t="s">
        <v>1136</v>
      </c>
      <c r="J117" s="3" t="s">
        <v>352</v>
      </c>
      <c r="K117" s="3" t="s">
        <v>1137</v>
      </c>
      <c r="L117" s="3" t="s">
        <v>1138</v>
      </c>
      <c r="M117" s="3" t="s">
        <v>174</v>
      </c>
      <c r="N117" s="3" t="s">
        <v>532</v>
      </c>
    </row>
    <row r="118" spans="1:14" x14ac:dyDescent="0.3">
      <c r="A118" s="3" t="s">
        <v>21</v>
      </c>
      <c r="B118" s="3" t="s">
        <v>22</v>
      </c>
      <c r="C118" s="3" t="s">
        <v>23</v>
      </c>
      <c r="D118" s="3">
        <v>21157</v>
      </c>
      <c r="E118" s="3">
        <v>0</v>
      </c>
      <c r="F118" s="3" t="s">
        <v>333</v>
      </c>
      <c r="G118" s="3" t="s">
        <v>1131</v>
      </c>
      <c r="H118" s="3" t="s">
        <v>669</v>
      </c>
      <c r="I118" s="3" t="s">
        <v>1132</v>
      </c>
      <c r="J118" s="3" t="s">
        <v>352</v>
      </c>
      <c r="K118" s="3" t="s">
        <v>1133</v>
      </c>
      <c r="L118" s="3" t="s">
        <v>1134</v>
      </c>
      <c r="M118" s="3" t="s">
        <v>174</v>
      </c>
      <c r="N118" s="3" t="s">
        <v>532</v>
      </c>
    </row>
    <row r="119" spans="1:14" x14ac:dyDescent="0.3">
      <c r="A119" s="3" t="s">
        <v>21</v>
      </c>
      <c r="B119" s="3" t="s">
        <v>22</v>
      </c>
      <c r="C119" s="3" t="s">
        <v>23</v>
      </c>
      <c r="D119" s="3">
        <v>21157</v>
      </c>
      <c r="E119" s="3">
        <v>0</v>
      </c>
      <c r="F119" s="3" t="s">
        <v>333</v>
      </c>
      <c r="G119" s="3" t="s">
        <v>1126</v>
      </c>
      <c r="H119" s="3" t="s">
        <v>669</v>
      </c>
      <c r="I119" s="3" t="s">
        <v>1127</v>
      </c>
      <c r="J119" s="3" t="s">
        <v>352</v>
      </c>
      <c r="K119" s="3" t="s">
        <v>1128</v>
      </c>
      <c r="L119" s="3" t="s">
        <v>1129</v>
      </c>
      <c r="M119" s="3" t="s">
        <v>174</v>
      </c>
      <c r="N119" s="3" t="s">
        <v>1130</v>
      </c>
    </row>
    <row r="120" spans="1:14" x14ac:dyDescent="0.3">
      <c r="A120" s="3" t="s">
        <v>21</v>
      </c>
      <c r="B120" s="3" t="s">
        <v>22</v>
      </c>
      <c r="C120" s="3" t="s">
        <v>23</v>
      </c>
      <c r="D120" s="3">
        <v>21157</v>
      </c>
      <c r="E120" s="3">
        <v>0</v>
      </c>
      <c r="F120" s="3" t="s">
        <v>333</v>
      </c>
      <c r="G120" s="3" t="s">
        <v>1122</v>
      </c>
      <c r="H120" s="3" t="s">
        <v>669</v>
      </c>
      <c r="I120" s="3" t="s">
        <v>1123</v>
      </c>
      <c r="J120" s="3" t="s">
        <v>1124</v>
      </c>
      <c r="K120" s="3" t="s">
        <v>1125</v>
      </c>
      <c r="L120" s="3" t="s">
        <v>1117</v>
      </c>
      <c r="M120" s="3" t="s">
        <v>174</v>
      </c>
      <c r="N120" s="3" t="s">
        <v>527</v>
      </c>
    </row>
    <row r="121" spans="1:14" x14ac:dyDescent="0.3">
      <c r="A121" s="3" t="s">
        <v>21</v>
      </c>
      <c r="B121" s="3" t="s">
        <v>22</v>
      </c>
      <c r="C121" s="3" t="s">
        <v>23</v>
      </c>
      <c r="D121" s="3">
        <v>21157</v>
      </c>
      <c r="E121" s="3">
        <v>2</v>
      </c>
      <c r="F121" s="3" t="s">
        <v>333</v>
      </c>
      <c r="G121" s="3" t="s">
        <v>636</v>
      </c>
      <c r="H121" s="3" t="s">
        <v>593</v>
      </c>
      <c r="I121" s="3" t="s">
        <v>637</v>
      </c>
      <c r="J121" s="3" t="s">
        <v>638</v>
      </c>
      <c r="K121" s="3" t="s">
        <v>639</v>
      </c>
      <c r="L121" s="3" t="s">
        <v>640</v>
      </c>
      <c r="M121" s="3" t="s">
        <v>174</v>
      </c>
      <c r="N121" s="3" t="s">
        <v>641</v>
      </c>
    </row>
    <row r="122" spans="1:14" x14ac:dyDescent="0.3">
      <c r="A122" s="3" t="s">
        <v>21</v>
      </c>
      <c r="B122" s="3" t="s">
        <v>22</v>
      </c>
      <c r="C122" s="3" t="s">
        <v>23</v>
      </c>
      <c r="D122" s="3">
        <v>21157</v>
      </c>
      <c r="E122" s="3">
        <v>0</v>
      </c>
      <c r="F122" s="3" t="s">
        <v>333</v>
      </c>
      <c r="G122" s="3" t="s">
        <v>1118</v>
      </c>
      <c r="H122" s="3" t="s">
        <v>669</v>
      </c>
      <c r="I122" s="3" t="s">
        <v>1119</v>
      </c>
      <c r="J122" s="3" t="s">
        <v>669</v>
      </c>
      <c r="K122" s="3" t="s">
        <v>1120</v>
      </c>
      <c r="L122" s="3" t="s">
        <v>1121</v>
      </c>
      <c r="M122" s="3" t="s">
        <v>174</v>
      </c>
      <c r="N122" s="3" t="s">
        <v>527</v>
      </c>
    </row>
    <row r="123" spans="1:14" x14ac:dyDescent="0.3">
      <c r="A123" s="3" t="s">
        <v>21</v>
      </c>
      <c r="B123" s="3" t="s">
        <v>22</v>
      </c>
      <c r="C123" s="3" t="s">
        <v>23</v>
      </c>
      <c r="D123" s="3">
        <v>21157</v>
      </c>
      <c r="E123" s="3">
        <v>3</v>
      </c>
      <c r="F123" s="3" t="s">
        <v>333</v>
      </c>
      <c r="G123" s="3" t="s">
        <v>523</v>
      </c>
      <c r="H123" s="3" t="s">
        <v>170</v>
      </c>
      <c r="I123" s="3" t="s">
        <v>524</v>
      </c>
      <c r="J123" s="3" t="s">
        <v>170</v>
      </c>
      <c r="K123" s="3" t="s">
        <v>525</v>
      </c>
      <c r="L123" s="3" t="s">
        <v>526</v>
      </c>
      <c r="M123" s="3" t="s">
        <v>174</v>
      </c>
      <c r="N123" s="3" t="s">
        <v>527</v>
      </c>
    </row>
    <row r="124" spans="1:14" x14ac:dyDescent="0.3">
      <c r="A124" s="3" t="s">
        <v>21</v>
      </c>
      <c r="B124" s="3" t="s">
        <v>22</v>
      </c>
      <c r="C124" s="3" t="s">
        <v>23</v>
      </c>
      <c r="D124" s="3">
        <v>21157</v>
      </c>
      <c r="E124" s="3">
        <v>2</v>
      </c>
      <c r="F124" s="3" t="s">
        <v>333</v>
      </c>
      <c r="G124" s="3" t="s">
        <v>631</v>
      </c>
      <c r="H124" s="3" t="s">
        <v>593</v>
      </c>
      <c r="I124" s="3" t="s">
        <v>632</v>
      </c>
      <c r="J124" s="3" t="s">
        <v>633</v>
      </c>
      <c r="K124" s="3" t="s">
        <v>634</v>
      </c>
      <c r="L124" s="3" t="s">
        <v>635</v>
      </c>
      <c r="M124" s="3" t="s">
        <v>174</v>
      </c>
      <c r="N124" s="3" t="s">
        <v>630</v>
      </c>
    </row>
    <row r="125" spans="1:14" x14ac:dyDescent="0.3">
      <c r="A125" s="3" t="s">
        <v>21</v>
      </c>
      <c r="B125" s="3" t="s">
        <v>22</v>
      </c>
      <c r="C125" s="3" t="s">
        <v>23</v>
      </c>
      <c r="D125" s="3">
        <v>21157</v>
      </c>
      <c r="E125" s="3">
        <v>2</v>
      </c>
      <c r="F125" s="3" t="s">
        <v>333</v>
      </c>
      <c r="G125" s="3" t="s">
        <v>625</v>
      </c>
      <c r="H125" s="3" t="s">
        <v>593</v>
      </c>
      <c r="I125" s="3" t="s">
        <v>626</v>
      </c>
      <c r="J125" s="3" t="s">
        <v>627</v>
      </c>
      <c r="K125" s="3" t="s">
        <v>628</v>
      </c>
      <c r="L125" s="3" t="s">
        <v>629</v>
      </c>
      <c r="M125" s="3" t="s">
        <v>174</v>
      </c>
      <c r="N125" s="3" t="s">
        <v>630</v>
      </c>
    </row>
    <row r="126" spans="1:14" x14ac:dyDescent="0.3">
      <c r="A126" s="3" t="s">
        <v>21</v>
      </c>
      <c r="B126" s="3" t="s">
        <v>22</v>
      </c>
      <c r="C126" s="3" t="s">
        <v>23</v>
      </c>
      <c r="D126" s="3">
        <v>21157</v>
      </c>
      <c r="E126" s="3">
        <v>0</v>
      </c>
      <c r="F126" s="3" t="s">
        <v>333</v>
      </c>
      <c r="G126" s="3" t="s">
        <v>1115</v>
      </c>
      <c r="H126" s="3" t="s">
        <v>669</v>
      </c>
      <c r="I126" s="3"/>
      <c r="J126" s="3" t="s">
        <v>669</v>
      </c>
      <c r="K126" s="3" t="s">
        <v>1116</v>
      </c>
      <c r="L126" s="3" t="s">
        <v>1117</v>
      </c>
      <c r="M126" s="3" t="s">
        <v>174</v>
      </c>
      <c r="N126" s="3" t="s">
        <v>527</v>
      </c>
    </row>
    <row r="127" spans="1:14" x14ac:dyDescent="0.3">
      <c r="A127" s="3" t="s">
        <v>21</v>
      </c>
      <c r="B127" s="3" t="s">
        <v>22</v>
      </c>
      <c r="C127" s="3" t="s">
        <v>23</v>
      </c>
      <c r="D127" s="3">
        <v>21157</v>
      </c>
      <c r="E127" s="3">
        <v>0</v>
      </c>
      <c r="F127" s="3" t="s">
        <v>333</v>
      </c>
      <c r="G127" s="3" t="s">
        <v>1112</v>
      </c>
      <c r="H127" s="3" t="s">
        <v>669</v>
      </c>
      <c r="I127" s="3"/>
      <c r="J127" s="3" t="s">
        <v>669</v>
      </c>
      <c r="K127" s="3" t="s">
        <v>1113</v>
      </c>
      <c r="L127" s="3" t="s">
        <v>1114</v>
      </c>
      <c r="M127" s="3" t="s">
        <v>174</v>
      </c>
      <c r="N127" s="3" t="s">
        <v>630</v>
      </c>
    </row>
    <row r="128" spans="1:14" x14ac:dyDescent="0.3">
      <c r="A128" s="3" t="s">
        <v>21</v>
      </c>
      <c r="B128" s="3" t="s">
        <v>22</v>
      </c>
      <c r="C128" s="3" t="s">
        <v>23</v>
      </c>
      <c r="D128" s="3">
        <v>21157</v>
      </c>
      <c r="E128" s="3">
        <v>0</v>
      </c>
      <c r="F128" s="3" t="s">
        <v>333</v>
      </c>
      <c r="G128" s="3" t="s">
        <v>1109</v>
      </c>
      <c r="H128" s="3" t="s">
        <v>669</v>
      </c>
      <c r="I128" s="3"/>
      <c r="J128" s="3" t="s">
        <v>669</v>
      </c>
      <c r="K128" s="3" t="s">
        <v>1110</v>
      </c>
      <c r="L128" s="3" t="s">
        <v>1111</v>
      </c>
      <c r="M128" s="3" t="s">
        <v>174</v>
      </c>
      <c r="N128" s="3" t="s">
        <v>527</v>
      </c>
    </row>
    <row r="129" spans="1:14" x14ac:dyDescent="0.3">
      <c r="A129" s="3" t="s">
        <v>21</v>
      </c>
      <c r="B129" s="3" t="s">
        <v>22</v>
      </c>
      <c r="C129" s="3" t="s">
        <v>23</v>
      </c>
      <c r="D129" s="3">
        <v>21157</v>
      </c>
      <c r="E129" s="3">
        <v>0</v>
      </c>
      <c r="F129" s="3" t="s">
        <v>333</v>
      </c>
      <c r="G129" s="3" t="s">
        <v>1106</v>
      </c>
      <c r="H129" s="3" t="s">
        <v>669</v>
      </c>
      <c r="I129" s="3"/>
      <c r="J129" s="3" t="s">
        <v>669</v>
      </c>
      <c r="K129" s="3" t="s">
        <v>1107</v>
      </c>
      <c r="L129" s="3" t="s">
        <v>1108</v>
      </c>
      <c r="M129" s="3" t="s">
        <v>174</v>
      </c>
      <c r="N129" s="3" t="s">
        <v>527</v>
      </c>
    </row>
    <row r="130" spans="1:14" x14ac:dyDescent="0.3">
      <c r="A130" s="3" t="s">
        <v>21</v>
      </c>
      <c r="B130" s="3" t="s">
        <v>22</v>
      </c>
      <c r="C130" s="3" t="s">
        <v>23</v>
      </c>
      <c r="D130" s="3">
        <v>21157</v>
      </c>
      <c r="E130" s="3">
        <v>0</v>
      </c>
      <c r="F130" s="3" t="s">
        <v>333</v>
      </c>
      <c r="G130" s="3" t="s">
        <v>1103</v>
      </c>
      <c r="H130" s="3" t="s">
        <v>669</v>
      </c>
      <c r="I130" s="3"/>
      <c r="J130" s="3" t="s">
        <v>669</v>
      </c>
      <c r="K130" s="3" t="s">
        <v>1104</v>
      </c>
      <c r="L130" s="3" t="s">
        <v>1105</v>
      </c>
      <c r="M130" s="3" t="s">
        <v>174</v>
      </c>
      <c r="N130" s="3" t="s">
        <v>527</v>
      </c>
    </row>
    <row r="131" spans="1:14" x14ac:dyDescent="0.3">
      <c r="A131" s="3" t="s">
        <v>21</v>
      </c>
      <c r="B131" s="3" t="s">
        <v>22</v>
      </c>
      <c r="C131" s="3" t="s">
        <v>23</v>
      </c>
      <c r="D131" s="3">
        <v>21157</v>
      </c>
      <c r="E131" s="3">
        <v>0</v>
      </c>
      <c r="F131" s="3" t="s">
        <v>333</v>
      </c>
      <c r="G131" s="3" t="s">
        <v>1100</v>
      </c>
      <c r="H131" s="3" t="s">
        <v>669</v>
      </c>
      <c r="I131" s="3"/>
      <c r="J131" s="3" t="s">
        <v>669</v>
      </c>
      <c r="K131" s="3" t="s">
        <v>1101</v>
      </c>
      <c r="L131" s="3" t="s">
        <v>1102</v>
      </c>
      <c r="M131" s="3" t="s">
        <v>174</v>
      </c>
      <c r="N131" s="3" t="s">
        <v>630</v>
      </c>
    </row>
    <row r="132" spans="1:14" x14ac:dyDescent="0.3">
      <c r="A132" s="3" t="s">
        <v>21</v>
      </c>
      <c r="B132" s="3" t="s">
        <v>22</v>
      </c>
      <c r="C132" s="3" t="s">
        <v>23</v>
      </c>
      <c r="D132" s="3">
        <v>21157</v>
      </c>
      <c r="E132" s="3">
        <v>0</v>
      </c>
      <c r="F132" s="3" t="s">
        <v>333</v>
      </c>
      <c r="G132" s="3" t="s">
        <v>1097</v>
      </c>
      <c r="H132" s="3" t="s">
        <v>669</v>
      </c>
      <c r="I132" s="3"/>
      <c r="J132" s="3" t="s">
        <v>669</v>
      </c>
      <c r="K132" s="3" t="s">
        <v>1098</v>
      </c>
      <c r="L132" s="3" t="s">
        <v>1099</v>
      </c>
      <c r="M132" s="3" t="s">
        <v>174</v>
      </c>
      <c r="N132" s="3" t="s">
        <v>527</v>
      </c>
    </row>
    <row r="133" spans="1:14" x14ac:dyDescent="0.3">
      <c r="A133" s="3" t="s">
        <v>21</v>
      </c>
      <c r="B133" s="3" t="s">
        <v>22</v>
      </c>
      <c r="C133" s="3" t="s">
        <v>23</v>
      </c>
      <c r="D133" s="3">
        <v>21157</v>
      </c>
      <c r="E133" s="3">
        <v>0</v>
      </c>
      <c r="F133" s="3" t="s">
        <v>333</v>
      </c>
      <c r="G133" s="3" t="s">
        <v>1094</v>
      </c>
      <c r="H133" s="3" t="s">
        <v>669</v>
      </c>
      <c r="I133" s="3"/>
      <c r="J133" s="3" t="s">
        <v>669</v>
      </c>
      <c r="K133" s="3" t="s">
        <v>1095</v>
      </c>
      <c r="L133" s="3" t="s">
        <v>1096</v>
      </c>
      <c r="M133" s="3" t="s">
        <v>174</v>
      </c>
      <c r="N133" s="3" t="s">
        <v>527</v>
      </c>
    </row>
    <row r="134" spans="1:14" x14ac:dyDescent="0.3">
      <c r="A134" s="3" t="s">
        <v>21</v>
      </c>
      <c r="B134" s="3" t="s">
        <v>22</v>
      </c>
      <c r="C134" s="3" t="s">
        <v>23</v>
      </c>
      <c r="D134" s="3">
        <v>21157</v>
      </c>
      <c r="E134" s="3">
        <v>0</v>
      </c>
      <c r="F134" s="3" t="s">
        <v>333</v>
      </c>
      <c r="G134" s="3" t="s">
        <v>1091</v>
      </c>
      <c r="H134" s="3" t="s">
        <v>669</v>
      </c>
      <c r="I134" s="3"/>
      <c r="J134" s="3" t="s">
        <v>669</v>
      </c>
      <c r="K134" s="3" t="s">
        <v>1092</v>
      </c>
      <c r="L134" s="3" t="s">
        <v>1093</v>
      </c>
      <c r="M134" s="3" t="s">
        <v>174</v>
      </c>
      <c r="N134" s="3" t="s">
        <v>527</v>
      </c>
    </row>
    <row r="135" spans="1:14" x14ac:dyDescent="0.3">
      <c r="A135" s="3" t="s">
        <v>21</v>
      </c>
      <c r="B135" s="3" t="s">
        <v>22</v>
      </c>
      <c r="C135" s="3" t="s">
        <v>23</v>
      </c>
      <c r="D135" s="3">
        <v>21157</v>
      </c>
      <c r="E135" s="3">
        <v>0</v>
      </c>
      <c r="F135" s="3" t="s">
        <v>333</v>
      </c>
      <c r="G135" s="3" t="s">
        <v>1088</v>
      </c>
      <c r="H135" s="3" t="s">
        <v>669</v>
      </c>
      <c r="I135" s="3"/>
      <c r="J135" s="3" t="s">
        <v>669</v>
      </c>
      <c r="K135" s="3" t="s">
        <v>1089</v>
      </c>
      <c r="L135" s="3" t="s">
        <v>1090</v>
      </c>
      <c r="M135" s="3" t="s">
        <v>174</v>
      </c>
      <c r="N135" s="3" t="s">
        <v>527</v>
      </c>
    </row>
    <row r="136" spans="1:14" x14ac:dyDescent="0.3">
      <c r="A136" s="3" t="s">
        <v>21</v>
      </c>
      <c r="B136" s="3" t="s">
        <v>22</v>
      </c>
      <c r="C136" s="3" t="s">
        <v>23</v>
      </c>
      <c r="D136" s="3">
        <v>21157</v>
      </c>
      <c r="E136" s="3">
        <v>0</v>
      </c>
      <c r="F136" s="3" t="s">
        <v>333</v>
      </c>
      <c r="G136" s="3" t="s">
        <v>1085</v>
      </c>
      <c r="H136" s="3" t="s">
        <v>669</v>
      </c>
      <c r="I136" s="3"/>
      <c r="J136" s="3" t="s">
        <v>669</v>
      </c>
      <c r="K136" s="3" t="s">
        <v>1086</v>
      </c>
      <c r="L136" s="3" t="s">
        <v>1087</v>
      </c>
      <c r="M136" s="3" t="s">
        <v>174</v>
      </c>
      <c r="N136" s="3" t="s">
        <v>527</v>
      </c>
    </row>
    <row r="137" spans="1:14" x14ac:dyDescent="0.3">
      <c r="A137" s="3" t="s">
        <v>21</v>
      </c>
      <c r="B137" s="3" t="s">
        <v>22</v>
      </c>
      <c r="C137" s="3" t="s">
        <v>23</v>
      </c>
      <c r="D137" s="3">
        <v>21157</v>
      </c>
      <c r="E137" s="3">
        <v>0</v>
      </c>
      <c r="F137" s="3" t="s">
        <v>333</v>
      </c>
      <c r="G137" s="3" t="s">
        <v>1082</v>
      </c>
      <c r="H137" s="3" t="s">
        <v>669</v>
      </c>
      <c r="I137" s="3"/>
      <c r="J137" s="3" t="s">
        <v>669</v>
      </c>
      <c r="K137" s="3" t="s">
        <v>1083</v>
      </c>
      <c r="L137" s="3" t="s">
        <v>1084</v>
      </c>
      <c r="M137" s="3" t="s">
        <v>174</v>
      </c>
      <c r="N137" s="3" t="s">
        <v>630</v>
      </c>
    </row>
    <row r="138" spans="1:14" x14ac:dyDescent="0.3">
      <c r="A138" s="3" t="s">
        <v>21</v>
      </c>
      <c r="B138" s="3" t="s">
        <v>22</v>
      </c>
      <c r="C138" s="3" t="s">
        <v>23</v>
      </c>
      <c r="D138" s="3">
        <v>21157</v>
      </c>
      <c r="E138" s="3">
        <v>0</v>
      </c>
      <c r="F138" s="3" t="s">
        <v>333</v>
      </c>
      <c r="G138" s="3" t="s">
        <v>1079</v>
      </c>
      <c r="H138" s="3" t="s">
        <v>669</v>
      </c>
      <c r="I138" s="3"/>
      <c r="J138" s="3" t="s">
        <v>669</v>
      </c>
      <c r="K138" s="3" t="s">
        <v>1063</v>
      </c>
      <c r="L138" s="3" t="s">
        <v>1080</v>
      </c>
      <c r="M138" s="3" t="s">
        <v>174</v>
      </c>
      <c r="N138" s="3" t="s">
        <v>1081</v>
      </c>
    </row>
    <row r="139" spans="1:14" x14ac:dyDescent="0.3">
      <c r="A139" s="3" t="s">
        <v>21</v>
      </c>
      <c r="B139" s="3" t="s">
        <v>22</v>
      </c>
      <c r="C139" s="3" t="s">
        <v>23</v>
      </c>
      <c r="D139" s="3">
        <v>21157</v>
      </c>
      <c r="E139" s="3">
        <v>0</v>
      </c>
      <c r="F139" s="3" t="s">
        <v>333</v>
      </c>
      <c r="G139" s="3" t="s">
        <v>1077</v>
      </c>
      <c r="H139" s="3" t="s">
        <v>669</v>
      </c>
      <c r="I139" s="3"/>
      <c r="J139" s="3" t="s">
        <v>669</v>
      </c>
      <c r="K139" s="3" t="s">
        <v>1060</v>
      </c>
      <c r="L139" s="3" t="s">
        <v>1078</v>
      </c>
      <c r="M139" s="3" t="s">
        <v>174</v>
      </c>
      <c r="N139" s="3" t="s">
        <v>527</v>
      </c>
    </row>
    <row r="140" spans="1:14" x14ac:dyDescent="0.3">
      <c r="A140" s="3" t="s">
        <v>21</v>
      </c>
      <c r="B140" s="3" t="s">
        <v>22</v>
      </c>
      <c r="C140" s="3" t="s">
        <v>23</v>
      </c>
      <c r="D140" s="3">
        <v>21157</v>
      </c>
      <c r="E140" s="3">
        <v>0</v>
      </c>
      <c r="F140" s="3" t="s">
        <v>333</v>
      </c>
      <c r="G140" s="3" t="s">
        <v>1074</v>
      </c>
      <c r="H140" s="3" t="s">
        <v>669</v>
      </c>
      <c r="I140" s="3"/>
      <c r="J140" s="3" t="s">
        <v>669</v>
      </c>
      <c r="K140" s="3" t="s">
        <v>1075</v>
      </c>
      <c r="L140" s="3" t="s">
        <v>1076</v>
      </c>
      <c r="M140" s="3" t="s">
        <v>174</v>
      </c>
      <c r="N140" s="3" t="s">
        <v>527</v>
      </c>
    </row>
    <row r="141" spans="1:14" x14ac:dyDescent="0.3">
      <c r="A141" s="3" t="s">
        <v>21</v>
      </c>
      <c r="B141" s="3" t="s">
        <v>22</v>
      </c>
      <c r="C141" s="3" t="s">
        <v>23</v>
      </c>
      <c r="D141" s="3">
        <v>21157</v>
      </c>
      <c r="E141" s="3">
        <v>0</v>
      </c>
      <c r="F141" s="3" t="s">
        <v>333</v>
      </c>
      <c r="G141" s="3" t="s">
        <v>1071</v>
      </c>
      <c r="H141" s="3" t="s">
        <v>669</v>
      </c>
      <c r="I141" s="3"/>
      <c r="J141" s="3" t="s">
        <v>669</v>
      </c>
      <c r="K141" s="3" t="s">
        <v>1072</v>
      </c>
      <c r="L141" s="3" t="s">
        <v>1073</v>
      </c>
      <c r="M141" s="3" t="s">
        <v>174</v>
      </c>
      <c r="N141" s="3" t="s">
        <v>527</v>
      </c>
    </row>
    <row r="142" spans="1:14" x14ac:dyDescent="0.3">
      <c r="A142" s="3" t="s">
        <v>21</v>
      </c>
      <c r="B142" s="3" t="s">
        <v>22</v>
      </c>
      <c r="C142" s="3" t="s">
        <v>23</v>
      </c>
      <c r="D142" s="3">
        <v>21157</v>
      </c>
      <c r="E142" s="3">
        <v>0</v>
      </c>
      <c r="F142" s="3" t="s">
        <v>333</v>
      </c>
      <c r="G142" s="3" t="s">
        <v>1068</v>
      </c>
      <c r="H142" s="3" t="s">
        <v>669</v>
      </c>
      <c r="I142" s="3"/>
      <c r="J142" s="3" t="s">
        <v>669</v>
      </c>
      <c r="K142" s="3" t="s">
        <v>1069</v>
      </c>
      <c r="L142" s="3" t="s">
        <v>1070</v>
      </c>
      <c r="M142" s="3" t="s">
        <v>174</v>
      </c>
      <c r="N142" s="3" t="s">
        <v>527</v>
      </c>
    </row>
    <row r="143" spans="1:14" x14ac:dyDescent="0.3">
      <c r="A143" s="3" t="s">
        <v>21</v>
      </c>
      <c r="B143" s="3" t="s">
        <v>22</v>
      </c>
      <c r="C143" s="3" t="s">
        <v>23</v>
      </c>
      <c r="D143" s="3">
        <v>21157</v>
      </c>
      <c r="E143" s="3">
        <v>0</v>
      </c>
      <c r="F143" s="3" t="s">
        <v>333</v>
      </c>
      <c r="G143" s="3" t="s">
        <v>1065</v>
      </c>
      <c r="H143" s="3" t="s">
        <v>669</v>
      </c>
      <c r="I143" s="3"/>
      <c r="J143" s="3" t="s">
        <v>669</v>
      </c>
      <c r="K143" s="3" t="s">
        <v>1066</v>
      </c>
      <c r="L143" s="3" t="s">
        <v>1067</v>
      </c>
      <c r="M143" s="3" t="s">
        <v>174</v>
      </c>
      <c r="N143" s="3" t="s">
        <v>630</v>
      </c>
    </row>
    <row r="144" spans="1:14" x14ac:dyDescent="0.3">
      <c r="A144" s="3" t="s">
        <v>21</v>
      </c>
      <c r="B144" s="3" t="s">
        <v>22</v>
      </c>
      <c r="C144" s="3" t="s">
        <v>23</v>
      </c>
      <c r="D144" s="3">
        <v>21157</v>
      </c>
      <c r="E144" s="3">
        <v>0</v>
      </c>
      <c r="F144" s="3" t="s">
        <v>333</v>
      </c>
      <c r="G144" s="3" t="s">
        <v>1062</v>
      </c>
      <c r="H144" s="3" t="s">
        <v>669</v>
      </c>
      <c r="I144" s="3"/>
      <c r="J144" s="3" t="s">
        <v>669</v>
      </c>
      <c r="K144" s="3" t="s">
        <v>1063</v>
      </c>
      <c r="L144" s="3" t="s">
        <v>1064</v>
      </c>
      <c r="M144" s="3" t="s">
        <v>174</v>
      </c>
      <c r="N144" s="3" t="s">
        <v>527</v>
      </c>
    </row>
    <row r="145" spans="1:14" x14ac:dyDescent="0.3">
      <c r="A145" s="3" t="s">
        <v>21</v>
      </c>
      <c r="B145" s="3" t="s">
        <v>22</v>
      </c>
      <c r="C145" s="3" t="s">
        <v>23</v>
      </c>
      <c r="D145" s="3">
        <v>21157</v>
      </c>
      <c r="E145" s="3">
        <v>0</v>
      </c>
      <c r="F145" s="3" t="s">
        <v>333</v>
      </c>
      <c r="G145" s="3" t="s">
        <v>1059</v>
      </c>
      <c r="H145" s="3" t="s">
        <v>669</v>
      </c>
      <c r="I145" s="3"/>
      <c r="J145" s="3" t="s">
        <v>669</v>
      </c>
      <c r="K145" s="3" t="s">
        <v>1060</v>
      </c>
      <c r="L145" s="3" t="s">
        <v>1061</v>
      </c>
      <c r="M145" s="3" t="s">
        <v>174</v>
      </c>
      <c r="N145" s="3" t="s">
        <v>527</v>
      </c>
    </row>
    <row r="146" spans="1:14" x14ac:dyDescent="0.3">
      <c r="A146" s="3" t="s">
        <v>21</v>
      </c>
      <c r="B146" s="3" t="s">
        <v>22</v>
      </c>
      <c r="C146" s="3" t="s">
        <v>23</v>
      </c>
      <c r="D146" s="3">
        <v>21157</v>
      </c>
      <c r="E146" s="3">
        <v>0</v>
      </c>
      <c r="F146" s="3" t="s">
        <v>333</v>
      </c>
      <c r="G146" s="3" t="s">
        <v>1056</v>
      </c>
      <c r="H146" s="3" t="s">
        <v>669</v>
      </c>
      <c r="I146" s="3"/>
      <c r="J146" s="3" t="s">
        <v>669</v>
      </c>
      <c r="K146" s="3" t="s">
        <v>1057</v>
      </c>
      <c r="L146" s="3" t="s">
        <v>1058</v>
      </c>
      <c r="M146" s="3" t="s">
        <v>174</v>
      </c>
      <c r="N146" s="3" t="s">
        <v>527</v>
      </c>
    </row>
    <row r="147" spans="1:14" x14ac:dyDescent="0.3">
      <c r="A147" s="3" t="s">
        <v>21</v>
      </c>
      <c r="B147" s="3" t="s">
        <v>22</v>
      </c>
      <c r="C147" s="3" t="s">
        <v>23</v>
      </c>
      <c r="D147" s="3">
        <v>21157</v>
      </c>
      <c r="E147" s="3">
        <v>0</v>
      </c>
      <c r="F147" s="3" t="s">
        <v>333</v>
      </c>
      <c r="G147" s="3" t="s">
        <v>1053</v>
      </c>
      <c r="H147" s="3" t="s">
        <v>669</v>
      </c>
      <c r="I147" s="3"/>
      <c r="J147" s="3" t="s">
        <v>669</v>
      </c>
      <c r="K147" s="3" t="s">
        <v>1054</v>
      </c>
      <c r="L147" s="3" t="s">
        <v>1055</v>
      </c>
      <c r="M147" s="3" t="s">
        <v>174</v>
      </c>
      <c r="N147" s="3" t="s">
        <v>527</v>
      </c>
    </row>
    <row r="148" spans="1:14" x14ac:dyDescent="0.3">
      <c r="A148" s="3" t="s">
        <v>21</v>
      </c>
      <c r="B148" s="3" t="s">
        <v>22</v>
      </c>
      <c r="C148" s="3" t="s">
        <v>23</v>
      </c>
      <c r="D148" s="3">
        <v>21157</v>
      </c>
      <c r="E148" s="3">
        <v>0</v>
      </c>
      <c r="F148" s="3" t="s">
        <v>333</v>
      </c>
      <c r="G148" s="3" t="s">
        <v>1048</v>
      </c>
      <c r="H148" s="3" t="s">
        <v>669</v>
      </c>
      <c r="I148" s="3" t="s">
        <v>1049</v>
      </c>
      <c r="J148" s="3" t="s">
        <v>669</v>
      </c>
      <c r="K148" s="3" t="s">
        <v>1050</v>
      </c>
      <c r="L148" s="3" t="s">
        <v>1051</v>
      </c>
      <c r="M148" s="3" t="s">
        <v>174</v>
      </c>
      <c r="N148" s="3" t="s">
        <v>1052</v>
      </c>
    </row>
    <row r="149" spans="1:14" x14ac:dyDescent="0.3">
      <c r="A149" s="3" t="s">
        <v>21</v>
      </c>
      <c r="B149" s="3" t="s">
        <v>22</v>
      </c>
      <c r="C149" s="3" t="s">
        <v>23</v>
      </c>
      <c r="D149" s="3">
        <v>21157</v>
      </c>
      <c r="E149" s="3">
        <v>0</v>
      </c>
      <c r="F149" s="3" t="s">
        <v>333</v>
      </c>
      <c r="G149" s="3" t="s">
        <v>1043</v>
      </c>
      <c r="H149" s="3" t="s">
        <v>669</v>
      </c>
      <c r="I149" s="3" t="s">
        <v>1044</v>
      </c>
      <c r="J149" s="3" t="s">
        <v>1045</v>
      </c>
      <c r="K149" s="3" t="s">
        <v>1046</v>
      </c>
      <c r="L149" s="3" t="s">
        <v>1047</v>
      </c>
      <c r="M149" s="3" t="s">
        <v>174</v>
      </c>
      <c r="N149" s="3" t="s">
        <v>355</v>
      </c>
    </row>
    <row r="150" spans="1:14" x14ac:dyDescent="0.3">
      <c r="A150" s="3" t="s">
        <v>21</v>
      </c>
      <c r="B150" s="3" t="s">
        <v>22</v>
      </c>
      <c r="C150" s="3" t="s">
        <v>23</v>
      </c>
      <c r="D150" s="3">
        <v>21157</v>
      </c>
      <c r="E150" s="3">
        <v>0</v>
      </c>
      <c r="F150" s="3" t="s">
        <v>333</v>
      </c>
      <c r="G150" s="3" t="s">
        <v>1038</v>
      </c>
      <c r="H150" s="3" t="s">
        <v>669</v>
      </c>
      <c r="I150" s="3" t="s">
        <v>1039</v>
      </c>
      <c r="J150" s="3" t="s">
        <v>1040</v>
      </c>
      <c r="K150" s="3" t="s">
        <v>1041</v>
      </c>
      <c r="L150" s="3" t="s">
        <v>1042</v>
      </c>
      <c r="M150" s="3" t="s">
        <v>174</v>
      </c>
      <c r="N150" s="3" t="s">
        <v>355</v>
      </c>
    </row>
    <row r="151" spans="1:14" x14ac:dyDescent="0.3">
      <c r="A151" s="3" t="s">
        <v>21</v>
      </c>
      <c r="B151" s="3" t="s">
        <v>22</v>
      </c>
      <c r="C151" s="3" t="s">
        <v>23</v>
      </c>
      <c r="D151" s="3">
        <v>21157</v>
      </c>
      <c r="E151" s="3">
        <v>0</v>
      </c>
      <c r="F151" s="3" t="s">
        <v>333</v>
      </c>
      <c r="G151" s="3" t="s">
        <v>1033</v>
      </c>
      <c r="H151" s="3" t="s">
        <v>669</v>
      </c>
      <c r="I151" s="3" t="s">
        <v>1034</v>
      </c>
      <c r="J151" s="3" t="s">
        <v>1035</v>
      </c>
      <c r="K151" s="3" t="s">
        <v>1036</v>
      </c>
      <c r="L151" s="3" t="s">
        <v>1037</v>
      </c>
      <c r="M151" s="3" t="s">
        <v>174</v>
      </c>
      <c r="N151" s="3" t="s">
        <v>355</v>
      </c>
    </row>
    <row r="152" spans="1:14" x14ac:dyDescent="0.3">
      <c r="A152" s="3" t="s">
        <v>21</v>
      </c>
      <c r="B152" s="3" t="s">
        <v>22</v>
      </c>
      <c r="C152" s="3" t="s">
        <v>23</v>
      </c>
      <c r="D152" s="3">
        <v>21157</v>
      </c>
      <c r="E152" s="3">
        <v>0</v>
      </c>
      <c r="F152" s="3" t="s">
        <v>333</v>
      </c>
      <c r="G152" s="3" t="s">
        <v>1028</v>
      </c>
      <c r="H152" s="3" t="s">
        <v>669</v>
      </c>
      <c r="I152" s="3" t="s">
        <v>1029</v>
      </c>
      <c r="J152" s="3" t="s">
        <v>1030</v>
      </c>
      <c r="K152" s="3" t="s">
        <v>1031</v>
      </c>
      <c r="L152" s="3" t="s">
        <v>1032</v>
      </c>
      <c r="M152" s="3" t="s">
        <v>174</v>
      </c>
      <c r="N152" s="3" t="s">
        <v>355</v>
      </c>
    </row>
    <row r="153" spans="1:14" x14ac:dyDescent="0.3">
      <c r="A153" s="3" t="s">
        <v>21</v>
      </c>
      <c r="B153" s="3" t="s">
        <v>22</v>
      </c>
      <c r="C153" s="3" t="s">
        <v>23</v>
      </c>
      <c r="D153" s="3">
        <v>21157</v>
      </c>
      <c r="E153" s="3">
        <v>0</v>
      </c>
      <c r="F153" s="3" t="s">
        <v>333</v>
      </c>
      <c r="G153" s="3" t="s">
        <v>1023</v>
      </c>
      <c r="H153" s="3" t="s">
        <v>669</v>
      </c>
      <c r="I153" s="3" t="s">
        <v>1024</v>
      </c>
      <c r="J153" s="3" t="s">
        <v>1025</v>
      </c>
      <c r="K153" s="3" t="s">
        <v>1026</v>
      </c>
      <c r="L153" s="3" t="s">
        <v>1027</v>
      </c>
      <c r="M153" s="3" t="s">
        <v>174</v>
      </c>
      <c r="N153" s="3" t="s">
        <v>355</v>
      </c>
    </row>
    <row r="154" spans="1:14" x14ac:dyDescent="0.3">
      <c r="A154" s="3" t="s">
        <v>21</v>
      </c>
      <c r="B154" s="3" t="s">
        <v>22</v>
      </c>
      <c r="C154" s="3" t="s">
        <v>23</v>
      </c>
      <c r="D154" s="3">
        <v>21157</v>
      </c>
      <c r="E154" s="3">
        <v>0</v>
      </c>
      <c r="F154" s="3" t="s">
        <v>333</v>
      </c>
      <c r="G154" s="3" t="s">
        <v>1018</v>
      </c>
      <c r="H154" s="3" t="s">
        <v>669</v>
      </c>
      <c r="I154" s="3" t="s">
        <v>1019</v>
      </c>
      <c r="J154" s="3" t="s">
        <v>1020</v>
      </c>
      <c r="K154" s="3" t="s">
        <v>1021</v>
      </c>
      <c r="L154" s="3" t="s">
        <v>1022</v>
      </c>
      <c r="M154" s="3" t="s">
        <v>174</v>
      </c>
      <c r="N154" s="3" t="s">
        <v>355</v>
      </c>
    </row>
    <row r="155" spans="1:14" x14ac:dyDescent="0.3">
      <c r="A155" s="3" t="s">
        <v>21</v>
      </c>
      <c r="B155" s="3" t="s">
        <v>22</v>
      </c>
      <c r="C155" s="3" t="s">
        <v>23</v>
      </c>
      <c r="D155" s="3">
        <v>21157</v>
      </c>
      <c r="E155" s="3">
        <v>0</v>
      </c>
      <c r="F155" s="3" t="s">
        <v>333</v>
      </c>
      <c r="G155" s="3" t="s">
        <v>1014</v>
      </c>
      <c r="H155" s="3" t="s">
        <v>669</v>
      </c>
      <c r="I155" s="3" t="s">
        <v>1015</v>
      </c>
      <c r="J155" s="3" t="s">
        <v>669</v>
      </c>
      <c r="K155" s="3" t="s">
        <v>1016</v>
      </c>
      <c r="L155" s="3" t="s">
        <v>1017</v>
      </c>
      <c r="M155" s="3" t="s">
        <v>174</v>
      </c>
      <c r="N155" s="3" t="s">
        <v>355</v>
      </c>
    </row>
    <row r="156" spans="1:14" x14ac:dyDescent="0.3">
      <c r="A156" s="3" t="s">
        <v>21</v>
      </c>
      <c r="B156" s="3" t="s">
        <v>22</v>
      </c>
      <c r="C156" s="3" t="s">
        <v>23</v>
      </c>
      <c r="D156" s="3">
        <v>21157</v>
      </c>
      <c r="E156" s="3">
        <v>0</v>
      </c>
      <c r="F156" s="3" t="s">
        <v>333</v>
      </c>
      <c r="G156" s="3" t="s">
        <v>1011</v>
      </c>
      <c r="H156" s="3" t="s">
        <v>669</v>
      </c>
      <c r="I156" s="3"/>
      <c r="J156" s="3" t="s">
        <v>669</v>
      </c>
      <c r="K156" s="3" t="s">
        <v>1012</v>
      </c>
      <c r="L156" s="3" t="s">
        <v>1013</v>
      </c>
      <c r="M156" s="3" t="s">
        <v>174</v>
      </c>
      <c r="N156" s="3" t="s">
        <v>355</v>
      </c>
    </row>
    <row r="157" spans="1:14" x14ac:dyDescent="0.3">
      <c r="A157" s="3" t="s">
        <v>21</v>
      </c>
      <c r="B157" s="3" t="s">
        <v>22</v>
      </c>
      <c r="C157" s="3" t="s">
        <v>23</v>
      </c>
      <c r="D157" s="3">
        <v>21157</v>
      </c>
      <c r="E157" s="3">
        <v>0</v>
      </c>
      <c r="F157" s="3" t="s">
        <v>333</v>
      </c>
      <c r="G157" s="3" t="s">
        <v>1007</v>
      </c>
      <c r="H157" s="3" t="s">
        <v>669</v>
      </c>
      <c r="I157" s="3" t="s">
        <v>1008</v>
      </c>
      <c r="J157" s="3" t="s">
        <v>352</v>
      </c>
      <c r="K157" s="3" t="s">
        <v>1009</v>
      </c>
      <c r="L157" s="3" t="s">
        <v>1010</v>
      </c>
      <c r="M157" s="3" t="s">
        <v>174</v>
      </c>
      <c r="N157" s="3" t="s">
        <v>355</v>
      </c>
    </row>
    <row r="158" spans="1:14" x14ac:dyDescent="0.3">
      <c r="A158" s="3" t="s">
        <v>21</v>
      </c>
      <c r="B158" s="3" t="s">
        <v>22</v>
      </c>
      <c r="C158" s="3" t="s">
        <v>23</v>
      </c>
      <c r="D158" s="3">
        <v>21157</v>
      </c>
      <c r="E158" s="3">
        <v>3</v>
      </c>
      <c r="F158" s="3" t="s">
        <v>333</v>
      </c>
      <c r="G158" s="3" t="s">
        <v>518</v>
      </c>
      <c r="H158" s="3" t="s">
        <v>170</v>
      </c>
      <c r="I158" s="3" t="s">
        <v>519</v>
      </c>
      <c r="J158" s="3" t="s">
        <v>170</v>
      </c>
      <c r="K158" s="3" t="s">
        <v>520</v>
      </c>
      <c r="L158" s="3" t="s">
        <v>521</v>
      </c>
      <c r="M158" s="3" t="s">
        <v>174</v>
      </c>
      <c r="N158" s="3" t="s">
        <v>522</v>
      </c>
    </row>
    <row r="159" spans="1:14" x14ac:dyDescent="0.3">
      <c r="A159" s="3" t="s">
        <v>21</v>
      </c>
      <c r="B159" s="3" t="s">
        <v>22</v>
      </c>
      <c r="C159" s="3" t="s">
        <v>23</v>
      </c>
      <c r="D159" s="3">
        <v>21157</v>
      </c>
      <c r="E159" s="3">
        <v>0</v>
      </c>
      <c r="F159" s="3" t="s">
        <v>333</v>
      </c>
      <c r="G159" s="3" t="s">
        <v>1004</v>
      </c>
      <c r="H159" s="3" t="s">
        <v>669</v>
      </c>
      <c r="I159" s="3" t="s">
        <v>714</v>
      </c>
      <c r="J159" s="3" t="s">
        <v>479</v>
      </c>
      <c r="K159" s="3" t="s">
        <v>1005</v>
      </c>
      <c r="L159" s="3" t="s">
        <v>1006</v>
      </c>
      <c r="M159" s="3" t="s">
        <v>174</v>
      </c>
      <c r="N159" s="3" t="s">
        <v>384</v>
      </c>
    </row>
    <row r="160" spans="1:14" x14ac:dyDescent="0.3">
      <c r="A160" s="3" t="s">
        <v>21</v>
      </c>
      <c r="B160" s="3" t="s">
        <v>22</v>
      </c>
      <c r="C160" s="3" t="s">
        <v>23</v>
      </c>
      <c r="D160" s="3">
        <v>21157</v>
      </c>
      <c r="E160" s="3">
        <v>0</v>
      </c>
      <c r="F160" s="3" t="s">
        <v>333</v>
      </c>
      <c r="G160" s="3" t="s">
        <v>1001</v>
      </c>
      <c r="H160" s="3" t="s">
        <v>669</v>
      </c>
      <c r="I160" s="3" t="s">
        <v>714</v>
      </c>
      <c r="J160" s="3" t="s">
        <v>479</v>
      </c>
      <c r="K160" s="3" t="s">
        <v>1002</v>
      </c>
      <c r="L160" s="3" t="s">
        <v>1003</v>
      </c>
      <c r="M160" s="3" t="s">
        <v>174</v>
      </c>
      <c r="N160" s="3" t="s">
        <v>982</v>
      </c>
    </row>
    <row r="161" spans="1:14" x14ac:dyDescent="0.3">
      <c r="A161" s="3" t="s">
        <v>21</v>
      </c>
      <c r="B161" s="3" t="s">
        <v>22</v>
      </c>
      <c r="C161" s="3" t="s">
        <v>23</v>
      </c>
      <c r="D161" s="3">
        <v>21157</v>
      </c>
      <c r="E161" s="3">
        <v>3</v>
      </c>
      <c r="F161" s="3" t="s">
        <v>333</v>
      </c>
      <c r="G161" s="3" t="s">
        <v>514</v>
      </c>
      <c r="H161" s="3" t="s">
        <v>170</v>
      </c>
      <c r="I161" s="3" t="s">
        <v>478</v>
      </c>
      <c r="J161" s="3" t="s">
        <v>479</v>
      </c>
      <c r="K161" s="3" t="s">
        <v>515</v>
      </c>
      <c r="L161" s="3" t="s">
        <v>516</v>
      </c>
      <c r="M161" s="3" t="s">
        <v>174</v>
      </c>
      <c r="N161" s="3" t="s">
        <v>517</v>
      </c>
    </row>
    <row r="162" spans="1:14" x14ac:dyDescent="0.3">
      <c r="A162" s="3" t="s">
        <v>21</v>
      </c>
      <c r="B162" s="3" t="s">
        <v>22</v>
      </c>
      <c r="C162" s="3" t="s">
        <v>23</v>
      </c>
      <c r="D162" s="3">
        <v>21157</v>
      </c>
      <c r="E162" s="3">
        <v>3</v>
      </c>
      <c r="F162" s="3" t="s">
        <v>333</v>
      </c>
      <c r="G162" s="3" t="s">
        <v>510</v>
      </c>
      <c r="H162" s="3" t="s">
        <v>170</v>
      </c>
      <c r="I162" s="3" t="s">
        <v>478</v>
      </c>
      <c r="J162" s="3" t="s">
        <v>479</v>
      </c>
      <c r="K162" s="3" t="s">
        <v>511</v>
      </c>
      <c r="L162" s="3" t="s">
        <v>512</v>
      </c>
      <c r="M162" s="3" t="s">
        <v>174</v>
      </c>
      <c r="N162" s="3" t="s">
        <v>513</v>
      </c>
    </row>
    <row r="163" spans="1:14" x14ac:dyDescent="0.3">
      <c r="A163" s="3" t="s">
        <v>21</v>
      </c>
      <c r="B163" s="3" t="s">
        <v>22</v>
      </c>
      <c r="C163" s="3" t="s">
        <v>23</v>
      </c>
      <c r="D163" s="3">
        <v>21157</v>
      </c>
      <c r="E163" s="3">
        <v>0</v>
      </c>
      <c r="F163" s="3" t="s">
        <v>333</v>
      </c>
      <c r="G163" s="3" t="s">
        <v>997</v>
      </c>
      <c r="H163" s="3" t="s">
        <v>669</v>
      </c>
      <c r="I163" s="3" t="s">
        <v>714</v>
      </c>
      <c r="J163" s="3" t="s">
        <v>479</v>
      </c>
      <c r="K163" s="3" t="s">
        <v>998</v>
      </c>
      <c r="L163" s="3" t="s">
        <v>999</v>
      </c>
      <c r="M163" s="3" t="s">
        <v>174</v>
      </c>
      <c r="N163" s="3" t="s">
        <v>1000</v>
      </c>
    </row>
    <row r="164" spans="1:14" x14ac:dyDescent="0.3">
      <c r="A164" s="3" t="s">
        <v>21</v>
      </c>
      <c r="B164" s="3" t="s">
        <v>22</v>
      </c>
      <c r="C164" s="3" t="s">
        <v>23</v>
      </c>
      <c r="D164" s="3">
        <v>21157</v>
      </c>
      <c r="E164" s="3">
        <v>3</v>
      </c>
      <c r="F164" s="3" t="s">
        <v>333</v>
      </c>
      <c r="G164" s="3" t="s">
        <v>505</v>
      </c>
      <c r="H164" s="3" t="s">
        <v>170</v>
      </c>
      <c r="I164" s="3" t="s">
        <v>506</v>
      </c>
      <c r="J164" s="3" t="s">
        <v>170</v>
      </c>
      <c r="K164" s="3" t="s">
        <v>507</v>
      </c>
      <c r="L164" s="3" t="s">
        <v>508</v>
      </c>
      <c r="M164" s="3" t="s">
        <v>174</v>
      </c>
      <c r="N164" s="3" t="s">
        <v>509</v>
      </c>
    </row>
    <row r="165" spans="1:14" x14ac:dyDescent="0.3">
      <c r="A165" s="3" t="s">
        <v>21</v>
      </c>
      <c r="B165" s="3" t="s">
        <v>22</v>
      </c>
      <c r="C165" s="3" t="s">
        <v>23</v>
      </c>
      <c r="D165" s="3">
        <v>21157</v>
      </c>
      <c r="E165" s="3">
        <v>3</v>
      </c>
      <c r="F165" s="3" t="s">
        <v>333</v>
      </c>
      <c r="G165" s="3" t="s">
        <v>500</v>
      </c>
      <c r="H165" s="3" t="s">
        <v>170</v>
      </c>
      <c r="I165" s="3" t="s">
        <v>501</v>
      </c>
      <c r="J165" s="3" t="s">
        <v>170</v>
      </c>
      <c r="K165" s="3" t="s">
        <v>502</v>
      </c>
      <c r="L165" s="3" t="s">
        <v>503</v>
      </c>
      <c r="M165" s="3" t="s">
        <v>174</v>
      </c>
      <c r="N165" s="3" t="s">
        <v>504</v>
      </c>
    </row>
    <row r="166" spans="1:14" x14ac:dyDescent="0.3">
      <c r="A166" s="3" t="s">
        <v>21</v>
      </c>
      <c r="B166" s="3" t="s">
        <v>22</v>
      </c>
      <c r="C166" s="3" t="s">
        <v>23</v>
      </c>
      <c r="D166" s="3">
        <v>21157</v>
      </c>
      <c r="E166" s="3">
        <v>3</v>
      </c>
      <c r="F166" s="3" t="s">
        <v>333</v>
      </c>
      <c r="G166" s="3" t="s">
        <v>496</v>
      </c>
      <c r="H166" s="3" t="s">
        <v>170</v>
      </c>
      <c r="I166" s="3" t="s">
        <v>478</v>
      </c>
      <c r="J166" s="3" t="s">
        <v>479</v>
      </c>
      <c r="K166" s="3" t="s">
        <v>497</v>
      </c>
      <c r="L166" s="3" t="s">
        <v>498</v>
      </c>
      <c r="M166" s="3" t="s">
        <v>174</v>
      </c>
      <c r="N166" s="3" t="s">
        <v>499</v>
      </c>
    </row>
    <row r="167" spans="1:14" x14ac:dyDescent="0.3">
      <c r="A167" s="3" t="s">
        <v>21</v>
      </c>
      <c r="B167" s="3" t="s">
        <v>22</v>
      </c>
      <c r="C167" s="3" t="s">
        <v>23</v>
      </c>
      <c r="D167" s="3">
        <v>21157</v>
      </c>
      <c r="E167" s="3">
        <v>3</v>
      </c>
      <c r="F167" s="3" t="s">
        <v>333</v>
      </c>
      <c r="G167" s="3" t="s">
        <v>492</v>
      </c>
      <c r="H167" s="3" t="s">
        <v>170</v>
      </c>
      <c r="I167" s="3" t="s">
        <v>493</v>
      </c>
      <c r="J167" s="3" t="s">
        <v>170</v>
      </c>
      <c r="K167" s="3" t="s">
        <v>494</v>
      </c>
      <c r="L167" s="3" t="s">
        <v>495</v>
      </c>
      <c r="M167" s="3" t="s">
        <v>174</v>
      </c>
      <c r="N167" s="3" t="s">
        <v>384</v>
      </c>
    </row>
    <row r="168" spans="1:14" x14ac:dyDescent="0.3">
      <c r="A168" s="3" t="s">
        <v>21</v>
      </c>
      <c r="B168" s="3" t="s">
        <v>22</v>
      </c>
      <c r="C168" s="3" t="s">
        <v>23</v>
      </c>
      <c r="D168" s="3">
        <v>21157</v>
      </c>
      <c r="E168" s="3">
        <v>0</v>
      </c>
      <c r="F168" s="3" t="s">
        <v>333</v>
      </c>
      <c r="G168" s="3" t="s">
        <v>993</v>
      </c>
      <c r="H168" s="3" t="s">
        <v>669</v>
      </c>
      <c r="I168" s="3" t="s">
        <v>994</v>
      </c>
      <c r="J168" s="3" t="s">
        <v>336</v>
      </c>
      <c r="K168" s="3" t="s">
        <v>995</v>
      </c>
      <c r="L168" s="3" t="s">
        <v>996</v>
      </c>
      <c r="M168" s="3" t="s">
        <v>174</v>
      </c>
      <c r="N168" s="3" t="s">
        <v>355</v>
      </c>
    </row>
    <row r="169" spans="1:14" x14ac:dyDescent="0.3">
      <c r="A169" s="3" t="s">
        <v>21</v>
      </c>
      <c r="B169" s="3" t="s">
        <v>22</v>
      </c>
      <c r="C169" s="3" t="s">
        <v>23</v>
      </c>
      <c r="D169" s="3">
        <v>21157</v>
      </c>
      <c r="E169" s="3">
        <v>3</v>
      </c>
      <c r="F169" s="3" t="s">
        <v>333</v>
      </c>
      <c r="G169" s="3" t="s">
        <v>487</v>
      </c>
      <c r="H169" s="3" t="s">
        <v>170</v>
      </c>
      <c r="I169" s="3" t="s">
        <v>488</v>
      </c>
      <c r="J169" s="3" t="s">
        <v>170</v>
      </c>
      <c r="K169" s="3" t="s">
        <v>489</v>
      </c>
      <c r="L169" s="3" t="s">
        <v>490</v>
      </c>
      <c r="M169" s="3" t="s">
        <v>174</v>
      </c>
      <c r="N169" s="3" t="s">
        <v>491</v>
      </c>
    </row>
    <row r="170" spans="1:14" x14ac:dyDescent="0.3">
      <c r="A170" s="3" t="s">
        <v>21</v>
      </c>
      <c r="B170" s="3" t="s">
        <v>22</v>
      </c>
      <c r="C170" s="3" t="s">
        <v>23</v>
      </c>
      <c r="D170" s="3">
        <v>21157</v>
      </c>
      <c r="E170" s="3">
        <v>0</v>
      </c>
      <c r="F170" s="3" t="s">
        <v>333</v>
      </c>
      <c r="G170" s="3" t="s">
        <v>990</v>
      </c>
      <c r="H170" s="3" t="s">
        <v>669</v>
      </c>
      <c r="I170" s="3" t="s">
        <v>714</v>
      </c>
      <c r="J170" s="3" t="s">
        <v>479</v>
      </c>
      <c r="K170" s="3" t="s">
        <v>991</v>
      </c>
      <c r="L170" s="3" t="s">
        <v>992</v>
      </c>
      <c r="M170" s="3" t="s">
        <v>174</v>
      </c>
      <c r="N170" s="3" t="s">
        <v>522</v>
      </c>
    </row>
    <row r="171" spans="1:14" x14ac:dyDescent="0.3">
      <c r="A171" s="3" t="s">
        <v>21</v>
      </c>
      <c r="B171" s="3" t="s">
        <v>22</v>
      </c>
      <c r="C171" s="3" t="s">
        <v>23</v>
      </c>
      <c r="D171" s="3">
        <v>21157</v>
      </c>
      <c r="E171" s="3">
        <v>0</v>
      </c>
      <c r="F171" s="3" t="s">
        <v>333</v>
      </c>
      <c r="G171" s="3" t="s">
        <v>987</v>
      </c>
      <c r="H171" s="3" t="s">
        <v>669</v>
      </c>
      <c r="I171" s="3" t="s">
        <v>714</v>
      </c>
      <c r="J171" s="3" t="s">
        <v>479</v>
      </c>
      <c r="K171" s="3" t="s">
        <v>988</v>
      </c>
      <c r="L171" s="3" t="s">
        <v>989</v>
      </c>
      <c r="M171" s="3" t="s">
        <v>174</v>
      </c>
      <c r="N171" s="3" t="s">
        <v>384</v>
      </c>
    </row>
    <row r="172" spans="1:14" x14ac:dyDescent="0.3">
      <c r="A172" s="3" t="s">
        <v>21</v>
      </c>
      <c r="B172" s="3" t="s">
        <v>22</v>
      </c>
      <c r="C172" s="3" t="s">
        <v>23</v>
      </c>
      <c r="D172" s="3">
        <v>21157</v>
      </c>
      <c r="E172" s="3">
        <v>0</v>
      </c>
      <c r="F172" s="3" t="s">
        <v>333</v>
      </c>
      <c r="G172" s="3" t="s">
        <v>983</v>
      </c>
      <c r="H172" s="3" t="s">
        <v>669</v>
      </c>
      <c r="I172" s="3" t="s">
        <v>984</v>
      </c>
      <c r="J172" s="3" t="s">
        <v>352</v>
      </c>
      <c r="K172" s="3" t="s">
        <v>985</v>
      </c>
      <c r="L172" s="3" t="s">
        <v>986</v>
      </c>
      <c r="M172" s="3" t="s">
        <v>174</v>
      </c>
      <c r="N172" s="3" t="s">
        <v>617</v>
      </c>
    </row>
    <row r="173" spans="1:14" x14ac:dyDescent="0.3">
      <c r="A173" s="3" t="s">
        <v>21</v>
      </c>
      <c r="B173" s="3" t="s">
        <v>22</v>
      </c>
      <c r="C173" s="3" t="s">
        <v>23</v>
      </c>
      <c r="D173" s="3">
        <v>21157</v>
      </c>
      <c r="E173" s="3">
        <v>3</v>
      </c>
      <c r="F173" s="3" t="s">
        <v>333</v>
      </c>
      <c r="G173" s="3" t="s">
        <v>483</v>
      </c>
      <c r="H173" s="3" t="s">
        <v>170</v>
      </c>
      <c r="I173" s="3" t="s">
        <v>478</v>
      </c>
      <c r="J173" s="3" t="s">
        <v>479</v>
      </c>
      <c r="K173" s="3" t="s">
        <v>484</v>
      </c>
      <c r="L173" s="3" t="s">
        <v>485</v>
      </c>
      <c r="M173" s="3" t="s">
        <v>174</v>
      </c>
      <c r="N173" s="3" t="s">
        <v>486</v>
      </c>
    </row>
    <row r="174" spans="1:14" x14ac:dyDescent="0.3">
      <c r="A174" s="3" t="s">
        <v>21</v>
      </c>
      <c r="B174" s="3" t="s">
        <v>22</v>
      </c>
      <c r="C174" s="3" t="s">
        <v>23</v>
      </c>
      <c r="D174" s="3">
        <v>21157</v>
      </c>
      <c r="E174" s="3">
        <v>3</v>
      </c>
      <c r="F174" s="3" t="s">
        <v>333</v>
      </c>
      <c r="G174" s="3" t="s">
        <v>477</v>
      </c>
      <c r="H174" s="3" t="s">
        <v>170</v>
      </c>
      <c r="I174" s="3" t="s">
        <v>478</v>
      </c>
      <c r="J174" s="3" t="s">
        <v>479</v>
      </c>
      <c r="K174" s="3" t="s">
        <v>480</v>
      </c>
      <c r="L174" s="3" t="s">
        <v>481</v>
      </c>
      <c r="M174" s="3" t="s">
        <v>174</v>
      </c>
      <c r="N174" s="3" t="s">
        <v>482</v>
      </c>
    </row>
    <row r="175" spans="1:14" x14ac:dyDescent="0.3">
      <c r="A175" s="3" t="s">
        <v>21</v>
      </c>
      <c r="B175" s="3" t="s">
        <v>22</v>
      </c>
      <c r="C175" s="3" t="s">
        <v>23</v>
      </c>
      <c r="D175" s="3">
        <v>21157</v>
      </c>
      <c r="E175" s="3">
        <v>0</v>
      </c>
      <c r="F175" s="3" t="s">
        <v>333</v>
      </c>
      <c r="G175" s="3" t="s">
        <v>978</v>
      </c>
      <c r="H175" s="3" t="s">
        <v>669</v>
      </c>
      <c r="I175" s="3" t="s">
        <v>979</v>
      </c>
      <c r="J175" s="3" t="s">
        <v>479</v>
      </c>
      <c r="K175" s="3" t="s">
        <v>980</v>
      </c>
      <c r="L175" s="3" t="s">
        <v>981</v>
      </c>
      <c r="M175" s="3" t="s">
        <v>174</v>
      </c>
      <c r="N175" s="3" t="s">
        <v>982</v>
      </c>
    </row>
    <row r="176" spans="1:14" x14ac:dyDescent="0.3">
      <c r="A176" s="3" t="s">
        <v>21</v>
      </c>
      <c r="B176" s="3" t="s">
        <v>22</v>
      </c>
      <c r="C176" s="3" t="s">
        <v>23</v>
      </c>
      <c r="D176" s="3">
        <v>21157</v>
      </c>
      <c r="E176" s="3">
        <v>3</v>
      </c>
      <c r="F176" s="3" t="s">
        <v>333</v>
      </c>
      <c r="G176" s="3" t="s">
        <v>472</v>
      </c>
      <c r="H176" s="3" t="s">
        <v>170</v>
      </c>
      <c r="I176" s="3" t="s">
        <v>473</v>
      </c>
      <c r="J176" s="3" t="s">
        <v>170</v>
      </c>
      <c r="K176" s="3" t="s">
        <v>474</v>
      </c>
      <c r="L176" s="3" t="s">
        <v>475</v>
      </c>
      <c r="M176" s="3" t="s">
        <v>174</v>
      </c>
      <c r="N176" s="3" t="s">
        <v>476</v>
      </c>
    </row>
    <row r="177" spans="1:14" x14ac:dyDescent="0.3">
      <c r="A177" s="3" t="s">
        <v>21</v>
      </c>
      <c r="B177" s="3" t="s">
        <v>22</v>
      </c>
      <c r="C177" s="3" t="s">
        <v>23</v>
      </c>
      <c r="D177" s="3">
        <v>21157</v>
      </c>
      <c r="E177" s="3">
        <v>0</v>
      </c>
      <c r="F177" s="3" t="s">
        <v>168</v>
      </c>
      <c r="G177" s="3" t="s">
        <v>713</v>
      </c>
      <c r="H177" s="3" t="s">
        <v>669</v>
      </c>
      <c r="I177" s="3" t="s">
        <v>714</v>
      </c>
      <c r="J177" s="3" t="s">
        <v>336</v>
      </c>
      <c r="K177" s="3" t="s">
        <v>715</v>
      </c>
      <c r="L177" s="3" t="s">
        <v>716</v>
      </c>
      <c r="M177" s="3" t="s">
        <v>174</v>
      </c>
      <c r="N177" s="3" t="s">
        <v>717</v>
      </c>
    </row>
    <row r="178" spans="1:14" x14ac:dyDescent="0.3">
      <c r="A178" s="3" t="s">
        <v>21</v>
      </c>
      <c r="B178" s="3" t="s">
        <v>22</v>
      </c>
      <c r="C178" s="3" t="s">
        <v>23</v>
      </c>
      <c r="D178" s="3">
        <v>21157</v>
      </c>
      <c r="E178" s="3">
        <v>3</v>
      </c>
      <c r="F178" s="3" t="s">
        <v>168</v>
      </c>
      <c r="G178" s="3" t="s">
        <v>313</v>
      </c>
      <c r="H178" s="3" t="s">
        <v>170</v>
      </c>
      <c r="I178" s="3" t="s">
        <v>314</v>
      </c>
      <c r="J178" s="3" t="s">
        <v>170</v>
      </c>
      <c r="K178" s="3" t="s">
        <v>315</v>
      </c>
      <c r="L178" s="3" t="s">
        <v>316</v>
      </c>
      <c r="M178" s="3" t="s">
        <v>174</v>
      </c>
      <c r="N178" s="3" t="s">
        <v>317</v>
      </c>
    </row>
    <row r="179" spans="1:14" x14ac:dyDescent="0.3">
      <c r="A179" s="3" t="s">
        <v>21</v>
      </c>
      <c r="B179" s="3" t="s">
        <v>22</v>
      </c>
      <c r="C179" s="3" t="s">
        <v>23</v>
      </c>
      <c r="D179" s="3">
        <v>21157</v>
      </c>
      <c r="E179" s="3">
        <v>0</v>
      </c>
      <c r="F179" s="3" t="s">
        <v>333</v>
      </c>
      <c r="G179" s="3" t="s">
        <v>973</v>
      </c>
      <c r="H179" s="3" t="s">
        <v>669</v>
      </c>
      <c r="I179" s="3" t="s">
        <v>974</v>
      </c>
      <c r="J179" s="3" t="s">
        <v>975</v>
      </c>
      <c r="K179" s="3" t="s">
        <v>976</v>
      </c>
      <c r="L179" s="3" t="s">
        <v>977</v>
      </c>
      <c r="M179" s="3" t="s">
        <v>174</v>
      </c>
      <c r="N179" s="3" t="s">
        <v>491</v>
      </c>
    </row>
    <row r="180" spans="1:14" x14ac:dyDescent="0.3">
      <c r="A180" s="3" t="s">
        <v>21</v>
      </c>
      <c r="B180" s="3" t="s">
        <v>22</v>
      </c>
      <c r="C180" s="3" t="s">
        <v>23</v>
      </c>
      <c r="D180" s="3">
        <v>21157</v>
      </c>
      <c r="E180" s="3">
        <v>3</v>
      </c>
      <c r="F180" s="3" t="s">
        <v>333</v>
      </c>
      <c r="G180" s="3" t="s">
        <v>466</v>
      </c>
      <c r="H180" s="3" t="s">
        <v>170</v>
      </c>
      <c r="I180" s="3" t="s">
        <v>467</v>
      </c>
      <c r="J180" s="3" t="s">
        <v>468</v>
      </c>
      <c r="K180" s="3" t="s">
        <v>469</v>
      </c>
      <c r="L180" s="3" t="s">
        <v>470</v>
      </c>
      <c r="M180" s="3" t="s">
        <v>174</v>
      </c>
      <c r="N180" s="3" t="s">
        <v>471</v>
      </c>
    </row>
    <row r="181" spans="1:14" x14ac:dyDescent="0.3">
      <c r="A181" s="3" t="s">
        <v>21</v>
      </c>
      <c r="B181" s="3" t="s">
        <v>22</v>
      </c>
      <c r="C181" s="3" t="s">
        <v>23</v>
      </c>
      <c r="D181" s="3">
        <v>21157</v>
      </c>
      <c r="E181" s="3">
        <v>2</v>
      </c>
      <c r="F181" s="3" t="s">
        <v>333</v>
      </c>
      <c r="G181" s="3" t="s">
        <v>621</v>
      </c>
      <c r="H181" s="3" t="s">
        <v>600</v>
      </c>
      <c r="I181" s="3"/>
      <c r="J181" s="3"/>
      <c r="K181" s="3" t="s">
        <v>622</v>
      </c>
      <c r="L181" s="3" t="s">
        <v>623</v>
      </c>
      <c r="M181" s="3" t="s">
        <v>174</v>
      </c>
      <c r="N181" s="3" t="s">
        <v>624</v>
      </c>
    </row>
    <row r="182" spans="1:14" x14ac:dyDescent="0.3">
      <c r="A182" s="3" t="s">
        <v>21</v>
      </c>
      <c r="B182" s="3" t="s">
        <v>22</v>
      </c>
      <c r="C182" s="3" t="s">
        <v>23</v>
      </c>
      <c r="D182" s="3">
        <v>21157</v>
      </c>
      <c r="E182" s="3">
        <v>2</v>
      </c>
      <c r="F182" s="3" t="s">
        <v>168</v>
      </c>
      <c r="G182" s="3" t="s">
        <v>599</v>
      </c>
      <c r="H182" s="3" t="s">
        <v>600</v>
      </c>
      <c r="I182" s="3"/>
      <c r="J182" s="3"/>
      <c r="K182" s="3" t="s">
        <v>601</v>
      </c>
      <c r="L182" s="3" t="s">
        <v>602</v>
      </c>
      <c r="M182" s="3" t="s">
        <v>174</v>
      </c>
      <c r="N182" s="3" t="s">
        <v>603</v>
      </c>
    </row>
    <row r="183" spans="1:14" x14ac:dyDescent="0.3">
      <c r="A183" s="3" t="s">
        <v>21</v>
      </c>
      <c r="B183" s="3" t="s">
        <v>22</v>
      </c>
      <c r="C183" s="3" t="s">
        <v>23</v>
      </c>
      <c r="D183" s="3">
        <v>21157</v>
      </c>
      <c r="E183" s="3">
        <v>2</v>
      </c>
      <c r="F183" s="3" t="s">
        <v>333</v>
      </c>
      <c r="G183" s="3" t="s">
        <v>618</v>
      </c>
      <c r="H183" s="3" t="s">
        <v>600</v>
      </c>
      <c r="I183" s="3"/>
      <c r="J183" s="3"/>
      <c r="K183" s="3" t="s">
        <v>619</v>
      </c>
      <c r="L183" s="3" t="s">
        <v>620</v>
      </c>
      <c r="M183" s="3" t="s">
        <v>174</v>
      </c>
      <c r="N183" s="3" t="s">
        <v>491</v>
      </c>
    </row>
    <row r="184" spans="1:14" x14ac:dyDescent="0.3">
      <c r="A184" s="3" t="s">
        <v>21</v>
      </c>
      <c r="B184" s="3" t="s">
        <v>22</v>
      </c>
      <c r="C184" s="3" t="s">
        <v>23</v>
      </c>
      <c r="D184" s="3">
        <v>21157</v>
      </c>
      <c r="E184" s="3">
        <v>0</v>
      </c>
      <c r="F184" s="3" t="s">
        <v>333</v>
      </c>
      <c r="G184" s="3" t="s">
        <v>969</v>
      </c>
      <c r="H184" s="3" t="s">
        <v>669</v>
      </c>
      <c r="I184" s="3" t="s">
        <v>970</v>
      </c>
      <c r="J184" s="3" t="s">
        <v>669</v>
      </c>
      <c r="K184" s="3" t="s">
        <v>971</v>
      </c>
      <c r="L184" s="3" t="s">
        <v>972</v>
      </c>
      <c r="M184" s="3" t="s">
        <v>174</v>
      </c>
      <c r="N184" s="3" t="s">
        <v>491</v>
      </c>
    </row>
    <row r="185" spans="1:14" x14ac:dyDescent="0.3">
      <c r="A185" s="3" t="s">
        <v>21</v>
      </c>
      <c r="B185" s="3" t="s">
        <v>22</v>
      </c>
      <c r="C185" s="3" t="s">
        <v>23</v>
      </c>
      <c r="D185" s="3">
        <v>21157</v>
      </c>
      <c r="E185" s="3">
        <v>2</v>
      </c>
      <c r="F185" s="3" t="s">
        <v>333</v>
      </c>
      <c r="G185" s="3" t="s">
        <v>614</v>
      </c>
      <c r="H185" s="3" t="s">
        <v>600</v>
      </c>
      <c r="I185" s="3"/>
      <c r="J185" s="3"/>
      <c r="K185" s="3" t="s">
        <v>615</v>
      </c>
      <c r="L185" s="3" t="s">
        <v>616</v>
      </c>
      <c r="M185" s="3" t="s">
        <v>174</v>
      </c>
      <c r="N185" s="3" t="s">
        <v>617</v>
      </c>
    </row>
    <row r="186" spans="1:14" x14ac:dyDescent="0.3">
      <c r="A186" s="3" t="s">
        <v>21</v>
      </c>
      <c r="B186" s="3" t="s">
        <v>22</v>
      </c>
      <c r="C186" s="3" t="s">
        <v>23</v>
      </c>
      <c r="D186" s="3">
        <v>21157</v>
      </c>
      <c r="E186" s="3">
        <v>0</v>
      </c>
      <c r="F186" s="3" t="s">
        <v>333</v>
      </c>
      <c r="G186" s="3" t="s">
        <v>963</v>
      </c>
      <c r="H186" s="3" t="s">
        <v>669</v>
      </c>
      <c r="I186" s="3" t="s">
        <v>964</v>
      </c>
      <c r="J186" s="3" t="s">
        <v>965</v>
      </c>
      <c r="K186" s="3" t="s">
        <v>966</v>
      </c>
      <c r="L186" s="3" t="s">
        <v>967</v>
      </c>
      <c r="M186" s="3" t="s">
        <v>174</v>
      </c>
      <c r="N186" s="3" t="s">
        <v>968</v>
      </c>
    </row>
    <row r="187" spans="1:14" x14ac:dyDescent="0.3">
      <c r="A187" s="3" t="s">
        <v>21</v>
      </c>
      <c r="B187" s="3" t="s">
        <v>22</v>
      </c>
      <c r="C187" s="3" t="s">
        <v>23</v>
      </c>
      <c r="D187" s="3">
        <v>21157</v>
      </c>
      <c r="E187" s="3">
        <v>0</v>
      </c>
      <c r="F187" s="3" t="s">
        <v>333</v>
      </c>
      <c r="G187" s="3" t="s">
        <v>958</v>
      </c>
      <c r="H187" s="3" t="s">
        <v>669</v>
      </c>
      <c r="I187" s="3" t="s">
        <v>959</v>
      </c>
      <c r="J187" s="3" t="s">
        <v>960</v>
      </c>
      <c r="K187" s="3" t="s">
        <v>961</v>
      </c>
      <c r="L187" s="3" t="s">
        <v>962</v>
      </c>
      <c r="M187" s="3" t="s">
        <v>174</v>
      </c>
      <c r="N187" s="3" t="s">
        <v>384</v>
      </c>
    </row>
    <row r="188" spans="1:14" x14ac:dyDescent="0.3">
      <c r="A188" s="3" t="s">
        <v>21</v>
      </c>
      <c r="B188" s="3" t="s">
        <v>22</v>
      </c>
      <c r="C188" s="3" t="s">
        <v>23</v>
      </c>
      <c r="D188" s="3">
        <v>21157</v>
      </c>
      <c r="E188" s="3">
        <v>3</v>
      </c>
      <c r="F188" s="3" t="s">
        <v>333</v>
      </c>
      <c r="G188" s="3" t="s">
        <v>461</v>
      </c>
      <c r="H188" s="3" t="s">
        <v>170</v>
      </c>
      <c r="I188" s="3" t="s">
        <v>462</v>
      </c>
      <c r="J188" s="3" t="s">
        <v>170</v>
      </c>
      <c r="K188" s="3" t="s">
        <v>463</v>
      </c>
      <c r="L188" s="3" t="s">
        <v>464</v>
      </c>
      <c r="M188" s="3" t="s">
        <v>174</v>
      </c>
      <c r="N188" s="3" t="s">
        <v>465</v>
      </c>
    </row>
    <row r="189" spans="1:14" x14ac:dyDescent="0.3">
      <c r="A189" s="3" t="s">
        <v>21</v>
      </c>
      <c r="B189" s="3" t="s">
        <v>22</v>
      </c>
      <c r="C189" s="3" t="s">
        <v>23</v>
      </c>
      <c r="D189" s="3">
        <v>21157</v>
      </c>
      <c r="E189" s="3">
        <v>3</v>
      </c>
      <c r="F189" s="3" t="s">
        <v>333</v>
      </c>
      <c r="G189" s="3" t="s">
        <v>457</v>
      </c>
      <c r="H189" s="3" t="s">
        <v>170</v>
      </c>
      <c r="I189" s="3" t="s">
        <v>458</v>
      </c>
      <c r="J189" s="3" t="s">
        <v>170</v>
      </c>
      <c r="K189" s="3" t="s">
        <v>459</v>
      </c>
      <c r="L189" s="3" t="s">
        <v>460</v>
      </c>
      <c r="M189" s="3" t="s">
        <v>174</v>
      </c>
      <c r="N189" s="3" t="s">
        <v>456</v>
      </c>
    </row>
    <row r="190" spans="1:14" x14ac:dyDescent="0.3">
      <c r="A190" s="3" t="s">
        <v>21</v>
      </c>
      <c r="B190" s="3" t="s">
        <v>22</v>
      </c>
      <c r="C190" s="3" t="s">
        <v>23</v>
      </c>
      <c r="D190" s="3">
        <v>21157</v>
      </c>
      <c r="E190" s="3">
        <v>3</v>
      </c>
      <c r="F190" s="3" t="s">
        <v>333</v>
      </c>
      <c r="G190" s="3" t="s">
        <v>452</v>
      </c>
      <c r="H190" s="3" t="s">
        <v>170</v>
      </c>
      <c r="I190" s="3" t="s">
        <v>453</v>
      </c>
      <c r="J190" s="3" t="s">
        <v>170</v>
      </c>
      <c r="K190" s="3" t="s">
        <v>454</v>
      </c>
      <c r="L190" s="3" t="s">
        <v>455</v>
      </c>
      <c r="M190" s="3" t="s">
        <v>174</v>
      </c>
      <c r="N190" s="3" t="s">
        <v>456</v>
      </c>
    </row>
    <row r="191" spans="1:14" x14ac:dyDescent="0.3">
      <c r="A191" s="3" t="s">
        <v>21</v>
      </c>
      <c r="B191" s="3" t="s">
        <v>22</v>
      </c>
      <c r="C191" s="3" t="s">
        <v>23</v>
      </c>
      <c r="D191" s="3">
        <v>21157</v>
      </c>
      <c r="E191" s="3">
        <v>3</v>
      </c>
      <c r="F191" s="3" t="s">
        <v>168</v>
      </c>
      <c r="G191" s="3" t="s">
        <v>308</v>
      </c>
      <c r="H191" s="3" t="s">
        <v>170</v>
      </c>
      <c r="I191" s="3" t="s">
        <v>309</v>
      </c>
      <c r="J191" s="3" t="s">
        <v>170</v>
      </c>
      <c r="K191" s="3" t="s">
        <v>310</v>
      </c>
      <c r="L191" s="3" t="s">
        <v>311</v>
      </c>
      <c r="M191" s="3" t="s">
        <v>174</v>
      </c>
      <c r="N191" s="3" t="s">
        <v>312</v>
      </c>
    </row>
    <row r="192" spans="1:14" x14ac:dyDescent="0.3">
      <c r="A192" s="3" t="s">
        <v>21</v>
      </c>
      <c r="B192" s="3" t="s">
        <v>22</v>
      </c>
      <c r="C192" s="3" t="s">
        <v>23</v>
      </c>
      <c r="D192" s="3">
        <v>21157</v>
      </c>
      <c r="E192" s="3">
        <v>3</v>
      </c>
      <c r="F192" s="3" t="s">
        <v>333</v>
      </c>
      <c r="G192" s="3" t="s">
        <v>448</v>
      </c>
      <c r="H192" s="3" t="s">
        <v>170</v>
      </c>
      <c r="I192" s="3" t="s">
        <v>449</v>
      </c>
      <c r="J192" s="3" t="s">
        <v>170</v>
      </c>
      <c r="K192" s="3" t="s">
        <v>450</v>
      </c>
      <c r="L192" s="3" t="s">
        <v>451</v>
      </c>
      <c r="M192" s="3" t="s">
        <v>174</v>
      </c>
      <c r="N192" s="3" t="s">
        <v>384</v>
      </c>
    </row>
    <row r="193" spans="1:14" x14ac:dyDescent="0.3">
      <c r="A193" s="3" t="s">
        <v>21</v>
      </c>
      <c r="B193" s="3" t="s">
        <v>22</v>
      </c>
      <c r="C193" s="3" t="s">
        <v>23</v>
      </c>
      <c r="D193" s="3">
        <v>21157</v>
      </c>
      <c r="E193" s="3">
        <v>3</v>
      </c>
      <c r="F193" s="3" t="s">
        <v>333</v>
      </c>
      <c r="G193" s="3" t="s">
        <v>444</v>
      </c>
      <c r="H193" s="3" t="s">
        <v>170</v>
      </c>
      <c r="I193" s="3" t="s">
        <v>445</v>
      </c>
      <c r="J193" s="3" t="s">
        <v>170</v>
      </c>
      <c r="K193" s="3" t="s">
        <v>446</v>
      </c>
      <c r="L193" s="3" t="s">
        <v>447</v>
      </c>
      <c r="M193" s="3" t="s">
        <v>174</v>
      </c>
      <c r="N193" s="3" t="s">
        <v>384</v>
      </c>
    </row>
    <row r="194" spans="1:14" x14ac:dyDescent="0.3">
      <c r="A194" s="3" t="s">
        <v>21</v>
      </c>
      <c r="B194" s="3" t="s">
        <v>22</v>
      </c>
      <c r="C194" s="3" t="s">
        <v>23</v>
      </c>
      <c r="D194" s="3">
        <v>21157</v>
      </c>
      <c r="E194" s="3">
        <v>3</v>
      </c>
      <c r="F194" s="3" t="s">
        <v>333</v>
      </c>
      <c r="G194" s="3" t="s">
        <v>440</v>
      </c>
      <c r="H194" s="3" t="s">
        <v>170</v>
      </c>
      <c r="I194" s="3" t="s">
        <v>441</v>
      </c>
      <c r="J194" s="3" t="s">
        <v>170</v>
      </c>
      <c r="K194" s="3" t="s">
        <v>442</v>
      </c>
      <c r="L194" s="3" t="s">
        <v>443</v>
      </c>
      <c r="M194" s="3" t="s">
        <v>174</v>
      </c>
      <c r="N194" s="3" t="s">
        <v>384</v>
      </c>
    </row>
    <row r="195" spans="1:14" x14ac:dyDescent="0.3">
      <c r="A195" s="3" t="s">
        <v>21</v>
      </c>
      <c r="B195" s="3" t="s">
        <v>22</v>
      </c>
      <c r="C195" s="3" t="s">
        <v>23</v>
      </c>
      <c r="D195" s="3">
        <v>21157</v>
      </c>
      <c r="E195" s="3">
        <v>3</v>
      </c>
      <c r="F195" s="3" t="s">
        <v>333</v>
      </c>
      <c r="G195" s="3" t="s">
        <v>435</v>
      </c>
      <c r="H195" s="3" t="s">
        <v>170</v>
      </c>
      <c r="I195" s="3" t="s">
        <v>436</v>
      </c>
      <c r="J195" s="3" t="s">
        <v>170</v>
      </c>
      <c r="K195" s="3" t="s">
        <v>437</v>
      </c>
      <c r="L195" s="3" t="s">
        <v>438</v>
      </c>
      <c r="M195" s="3" t="s">
        <v>174</v>
      </c>
      <c r="N195" s="3" t="s">
        <v>439</v>
      </c>
    </row>
    <row r="196" spans="1:14" x14ac:dyDescent="0.3">
      <c r="A196" s="3" t="s">
        <v>21</v>
      </c>
      <c r="B196" s="3" t="s">
        <v>22</v>
      </c>
      <c r="C196" s="3" t="s">
        <v>23</v>
      </c>
      <c r="D196" s="3">
        <v>21157</v>
      </c>
      <c r="E196" s="3">
        <v>3</v>
      </c>
      <c r="F196" s="3" t="s">
        <v>333</v>
      </c>
      <c r="G196" s="3" t="s">
        <v>431</v>
      </c>
      <c r="H196" s="3" t="s">
        <v>170</v>
      </c>
      <c r="I196" s="3" t="s">
        <v>432</v>
      </c>
      <c r="J196" s="3" t="s">
        <v>170</v>
      </c>
      <c r="K196" s="3" t="s">
        <v>433</v>
      </c>
      <c r="L196" s="3" t="s">
        <v>434</v>
      </c>
      <c r="M196" s="3" t="s">
        <v>174</v>
      </c>
      <c r="N196" s="3" t="s">
        <v>384</v>
      </c>
    </row>
    <row r="197" spans="1:14" x14ac:dyDescent="0.3">
      <c r="A197" s="3" t="s">
        <v>21</v>
      </c>
      <c r="B197" s="3" t="s">
        <v>22</v>
      </c>
      <c r="C197" s="3" t="s">
        <v>23</v>
      </c>
      <c r="D197" s="3">
        <v>21157</v>
      </c>
      <c r="E197" s="3">
        <v>3</v>
      </c>
      <c r="F197" s="3" t="s">
        <v>333</v>
      </c>
      <c r="G197" s="3" t="s">
        <v>427</v>
      </c>
      <c r="H197" s="3" t="s">
        <v>170</v>
      </c>
      <c r="I197" s="3" t="s">
        <v>428</v>
      </c>
      <c r="J197" s="3" t="s">
        <v>170</v>
      </c>
      <c r="K197" s="3" t="s">
        <v>429</v>
      </c>
      <c r="L197" s="3" t="s">
        <v>430</v>
      </c>
      <c r="M197" s="3" t="s">
        <v>174</v>
      </c>
      <c r="N197" s="3" t="s">
        <v>384</v>
      </c>
    </row>
    <row r="198" spans="1:14" x14ac:dyDescent="0.3">
      <c r="A198" s="3" t="s">
        <v>21</v>
      </c>
      <c r="B198" s="3" t="s">
        <v>22</v>
      </c>
      <c r="C198" s="3" t="s">
        <v>23</v>
      </c>
      <c r="D198" s="3">
        <v>21157</v>
      </c>
      <c r="E198" s="3">
        <v>3</v>
      </c>
      <c r="F198" s="3" t="s">
        <v>333</v>
      </c>
      <c r="G198" s="3" t="s">
        <v>423</v>
      </c>
      <c r="H198" s="3" t="s">
        <v>170</v>
      </c>
      <c r="I198" s="3" t="s">
        <v>424</v>
      </c>
      <c r="J198" s="3" t="s">
        <v>170</v>
      </c>
      <c r="K198" s="3" t="s">
        <v>425</v>
      </c>
      <c r="L198" s="3" t="s">
        <v>426</v>
      </c>
      <c r="M198" s="3" t="s">
        <v>174</v>
      </c>
      <c r="N198" s="3" t="s">
        <v>384</v>
      </c>
    </row>
    <row r="199" spans="1:14" x14ac:dyDescent="0.3">
      <c r="A199" s="3" t="s">
        <v>21</v>
      </c>
      <c r="B199" s="3" t="s">
        <v>22</v>
      </c>
      <c r="C199" s="3" t="s">
        <v>23</v>
      </c>
      <c r="D199" s="3">
        <v>21157</v>
      </c>
      <c r="E199" s="3">
        <v>3</v>
      </c>
      <c r="F199" s="3" t="s">
        <v>333</v>
      </c>
      <c r="G199" s="3" t="s">
        <v>420</v>
      </c>
      <c r="H199" s="3" t="s">
        <v>170</v>
      </c>
      <c r="I199" s="3" t="s">
        <v>421</v>
      </c>
      <c r="J199" s="3" t="s">
        <v>170</v>
      </c>
      <c r="K199" s="3" t="s">
        <v>422</v>
      </c>
      <c r="L199" s="3" t="s">
        <v>419</v>
      </c>
      <c r="M199" s="3" t="s">
        <v>174</v>
      </c>
      <c r="N199" s="3" t="s">
        <v>384</v>
      </c>
    </row>
    <row r="200" spans="1:14" x14ac:dyDescent="0.3">
      <c r="A200" s="3" t="s">
        <v>21</v>
      </c>
      <c r="B200" s="3" t="s">
        <v>22</v>
      </c>
      <c r="C200" s="3" t="s">
        <v>23</v>
      </c>
      <c r="D200" s="3">
        <v>21157</v>
      </c>
      <c r="E200" s="3">
        <v>3</v>
      </c>
      <c r="F200" s="3" t="s">
        <v>333</v>
      </c>
      <c r="G200" s="3" t="s">
        <v>416</v>
      </c>
      <c r="H200" s="3" t="s">
        <v>170</v>
      </c>
      <c r="I200" s="3" t="s">
        <v>417</v>
      </c>
      <c r="J200" s="3" t="s">
        <v>170</v>
      </c>
      <c r="K200" s="3" t="s">
        <v>418</v>
      </c>
      <c r="L200" s="3" t="s">
        <v>419</v>
      </c>
      <c r="M200" s="3" t="s">
        <v>174</v>
      </c>
      <c r="N200" s="3" t="s">
        <v>384</v>
      </c>
    </row>
    <row r="201" spans="1:14" x14ac:dyDescent="0.3">
      <c r="A201" s="3" t="s">
        <v>21</v>
      </c>
      <c r="B201" s="3" t="s">
        <v>22</v>
      </c>
      <c r="C201" s="3" t="s">
        <v>23</v>
      </c>
      <c r="D201" s="3">
        <v>21157</v>
      </c>
      <c r="E201" s="3">
        <v>3</v>
      </c>
      <c r="F201" s="3" t="s">
        <v>333</v>
      </c>
      <c r="G201" s="3" t="s">
        <v>413</v>
      </c>
      <c r="H201" s="3" t="s">
        <v>170</v>
      </c>
      <c r="I201" s="3" t="s">
        <v>414</v>
      </c>
      <c r="J201" s="3" t="s">
        <v>170</v>
      </c>
      <c r="K201" s="3" t="s">
        <v>415</v>
      </c>
      <c r="L201" s="3" t="s">
        <v>412</v>
      </c>
      <c r="M201" s="3" t="s">
        <v>174</v>
      </c>
      <c r="N201" s="3" t="s">
        <v>384</v>
      </c>
    </row>
    <row r="202" spans="1:14" x14ac:dyDescent="0.3">
      <c r="A202" s="3" t="s">
        <v>21</v>
      </c>
      <c r="B202" s="3" t="s">
        <v>22</v>
      </c>
      <c r="C202" s="3" t="s">
        <v>23</v>
      </c>
      <c r="D202" s="3">
        <v>21157</v>
      </c>
      <c r="E202" s="3">
        <v>3</v>
      </c>
      <c r="F202" s="3" t="s">
        <v>333</v>
      </c>
      <c r="G202" s="3" t="s">
        <v>410</v>
      </c>
      <c r="H202" s="3" t="s">
        <v>170</v>
      </c>
      <c r="I202" s="3" t="s">
        <v>411</v>
      </c>
      <c r="J202" s="3" t="s">
        <v>170</v>
      </c>
      <c r="K202" s="3" t="s">
        <v>396</v>
      </c>
      <c r="L202" s="3" t="s">
        <v>412</v>
      </c>
      <c r="M202" s="3" t="s">
        <v>174</v>
      </c>
      <c r="N202" s="3" t="s">
        <v>398</v>
      </c>
    </row>
    <row r="203" spans="1:14" x14ac:dyDescent="0.3">
      <c r="A203" s="3" t="s">
        <v>21</v>
      </c>
      <c r="B203" s="3" t="s">
        <v>22</v>
      </c>
      <c r="C203" s="3" t="s">
        <v>23</v>
      </c>
      <c r="D203" s="3">
        <v>21157</v>
      </c>
      <c r="E203" s="3">
        <v>3</v>
      </c>
      <c r="F203" s="3" t="s">
        <v>333</v>
      </c>
      <c r="G203" s="3" t="s">
        <v>406</v>
      </c>
      <c r="H203" s="3" t="s">
        <v>170</v>
      </c>
      <c r="I203" s="3" t="s">
        <v>407</v>
      </c>
      <c r="J203" s="3" t="s">
        <v>170</v>
      </c>
      <c r="K203" s="3" t="s">
        <v>408</v>
      </c>
      <c r="L203" s="3" t="s">
        <v>409</v>
      </c>
      <c r="M203" s="3" t="s">
        <v>174</v>
      </c>
      <c r="N203" s="3" t="s">
        <v>384</v>
      </c>
    </row>
    <row r="204" spans="1:14" x14ac:dyDescent="0.3">
      <c r="A204" s="3" t="s">
        <v>21</v>
      </c>
      <c r="B204" s="3" t="s">
        <v>22</v>
      </c>
      <c r="C204" s="3" t="s">
        <v>23</v>
      </c>
      <c r="D204" s="3">
        <v>21157</v>
      </c>
      <c r="E204" s="3">
        <v>3</v>
      </c>
      <c r="F204" s="3" t="s">
        <v>333</v>
      </c>
      <c r="G204" s="3" t="s">
        <v>402</v>
      </c>
      <c r="H204" s="3" t="s">
        <v>170</v>
      </c>
      <c r="I204" s="3" t="s">
        <v>403</v>
      </c>
      <c r="J204" s="3" t="s">
        <v>170</v>
      </c>
      <c r="K204" s="3" t="s">
        <v>404</v>
      </c>
      <c r="L204" s="3" t="s">
        <v>405</v>
      </c>
      <c r="M204" s="3" t="s">
        <v>174</v>
      </c>
      <c r="N204" s="3" t="s">
        <v>384</v>
      </c>
    </row>
    <row r="205" spans="1:14" x14ac:dyDescent="0.3">
      <c r="A205" s="3" t="s">
        <v>21</v>
      </c>
      <c r="B205" s="3" t="s">
        <v>22</v>
      </c>
      <c r="C205" s="3" t="s">
        <v>23</v>
      </c>
      <c r="D205" s="3">
        <v>21157</v>
      </c>
      <c r="E205" s="3">
        <v>3</v>
      </c>
      <c r="F205" s="3" t="s">
        <v>333</v>
      </c>
      <c r="G205" s="3" t="s">
        <v>399</v>
      </c>
      <c r="H205" s="3" t="s">
        <v>170</v>
      </c>
      <c r="I205" s="3" t="s">
        <v>395</v>
      </c>
      <c r="J205" s="3" t="s">
        <v>170</v>
      </c>
      <c r="K205" s="3" t="s">
        <v>400</v>
      </c>
      <c r="L205" s="3" t="s">
        <v>401</v>
      </c>
      <c r="M205" s="3" t="s">
        <v>174</v>
      </c>
      <c r="N205" s="3" t="s">
        <v>398</v>
      </c>
    </row>
    <row r="206" spans="1:14" x14ac:dyDescent="0.3">
      <c r="A206" s="3" t="s">
        <v>21</v>
      </c>
      <c r="B206" s="3" t="s">
        <v>22</v>
      </c>
      <c r="C206" s="3" t="s">
        <v>23</v>
      </c>
      <c r="D206" s="3">
        <v>21157</v>
      </c>
      <c r="E206" s="3">
        <v>3</v>
      </c>
      <c r="F206" s="3" t="s">
        <v>333</v>
      </c>
      <c r="G206" s="3" t="s">
        <v>394</v>
      </c>
      <c r="H206" s="3" t="s">
        <v>170</v>
      </c>
      <c r="I206" s="3" t="s">
        <v>395</v>
      </c>
      <c r="J206" s="3" t="s">
        <v>170</v>
      </c>
      <c r="K206" s="3" t="s">
        <v>396</v>
      </c>
      <c r="L206" s="3" t="s">
        <v>397</v>
      </c>
      <c r="M206" s="3" t="s">
        <v>174</v>
      </c>
      <c r="N206" s="3" t="s">
        <v>398</v>
      </c>
    </row>
    <row r="207" spans="1:14" x14ac:dyDescent="0.3">
      <c r="A207" s="3" t="s">
        <v>21</v>
      </c>
      <c r="B207" s="3" t="s">
        <v>22</v>
      </c>
      <c r="C207" s="3" t="s">
        <v>23</v>
      </c>
      <c r="D207" s="3">
        <v>21157</v>
      </c>
      <c r="E207" s="3">
        <v>0</v>
      </c>
      <c r="F207" s="3" t="s">
        <v>333</v>
      </c>
      <c r="G207" s="3" t="s">
        <v>954</v>
      </c>
      <c r="H207" s="3" t="s">
        <v>669</v>
      </c>
      <c r="I207" s="3" t="s">
        <v>955</v>
      </c>
      <c r="J207" s="3" t="s">
        <v>669</v>
      </c>
      <c r="K207" s="3" t="s">
        <v>956</v>
      </c>
      <c r="L207" s="3" t="s">
        <v>957</v>
      </c>
      <c r="M207" s="3" t="s">
        <v>174</v>
      </c>
      <c r="N207" s="3" t="s">
        <v>398</v>
      </c>
    </row>
    <row r="208" spans="1:14" x14ac:dyDescent="0.3">
      <c r="A208" s="3" t="s">
        <v>21</v>
      </c>
      <c r="B208" s="3" t="s">
        <v>22</v>
      </c>
      <c r="C208" s="3" t="s">
        <v>23</v>
      </c>
      <c r="D208" s="3">
        <v>21157</v>
      </c>
      <c r="E208" s="3">
        <v>3</v>
      </c>
      <c r="F208" s="3" t="s">
        <v>333</v>
      </c>
      <c r="G208" s="3" t="s">
        <v>390</v>
      </c>
      <c r="H208" s="3" t="s">
        <v>170</v>
      </c>
      <c r="I208" s="3" t="s">
        <v>391</v>
      </c>
      <c r="J208" s="3" t="s">
        <v>170</v>
      </c>
      <c r="K208" s="3" t="s">
        <v>392</v>
      </c>
      <c r="L208" s="3" t="s">
        <v>393</v>
      </c>
      <c r="M208" s="3" t="s">
        <v>174</v>
      </c>
      <c r="N208" s="3" t="s">
        <v>389</v>
      </c>
    </row>
    <row r="209" spans="1:14" x14ac:dyDescent="0.3">
      <c r="A209" s="3" t="s">
        <v>21</v>
      </c>
      <c r="B209" s="3" t="s">
        <v>22</v>
      </c>
      <c r="C209" s="3" t="s">
        <v>23</v>
      </c>
      <c r="D209" s="3">
        <v>21157</v>
      </c>
      <c r="E209" s="3">
        <v>3</v>
      </c>
      <c r="F209" s="3" t="s">
        <v>333</v>
      </c>
      <c r="G209" s="3" t="s">
        <v>385</v>
      </c>
      <c r="H209" s="3" t="s">
        <v>170</v>
      </c>
      <c r="I209" s="3" t="s">
        <v>386</v>
      </c>
      <c r="J209" s="3" t="s">
        <v>170</v>
      </c>
      <c r="K209" s="3" t="s">
        <v>387</v>
      </c>
      <c r="L209" s="3" t="s">
        <v>388</v>
      </c>
      <c r="M209" s="3" t="s">
        <v>174</v>
      </c>
      <c r="N209" s="3" t="s">
        <v>389</v>
      </c>
    </row>
    <row r="210" spans="1:14" x14ac:dyDescent="0.3">
      <c r="A210" s="3" t="s">
        <v>21</v>
      </c>
      <c r="B210" s="3" t="s">
        <v>22</v>
      </c>
      <c r="C210" s="3" t="s">
        <v>23</v>
      </c>
      <c r="D210" s="3">
        <v>21157</v>
      </c>
      <c r="E210" s="3">
        <v>3</v>
      </c>
      <c r="F210" s="3" t="s">
        <v>333</v>
      </c>
      <c r="G210" s="3" t="s">
        <v>380</v>
      </c>
      <c r="H210" s="3" t="s">
        <v>170</v>
      </c>
      <c r="I210" s="3" t="s">
        <v>381</v>
      </c>
      <c r="J210" s="3" t="s">
        <v>170</v>
      </c>
      <c r="K210" s="3" t="s">
        <v>382</v>
      </c>
      <c r="L210" s="3" t="s">
        <v>383</v>
      </c>
      <c r="M210" s="3" t="s">
        <v>174</v>
      </c>
      <c r="N210" s="3" t="s">
        <v>384</v>
      </c>
    </row>
    <row r="211" spans="1:14" x14ac:dyDescent="0.3">
      <c r="A211" s="3" t="s">
        <v>21</v>
      </c>
      <c r="B211" s="3" t="s">
        <v>22</v>
      </c>
      <c r="C211" s="3" t="s">
        <v>23</v>
      </c>
      <c r="D211" s="3">
        <v>21157</v>
      </c>
      <c r="E211" s="3">
        <v>0</v>
      </c>
      <c r="F211" s="3" t="s">
        <v>333</v>
      </c>
      <c r="G211" s="3" t="s">
        <v>950</v>
      </c>
      <c r="H211" s="3" t="s">
        <v>669</v>
      </c>
      <c r="I211" s="3" t="s">
        <v>951</v>
      </c>
      <c r="J211" s="3" t="s">
        <v>336</v>
      </c>
      <c r="K211" s="3" t="s">
        <v>952</v>
      </c>
      <c r="L211" s="3" t="s">
        <v>953</v>
      </c>
      <c r="M211" s="3" t="s">
        <v>174</v>
      </c>
      <c r="N211" s="3" t="s">
        <v>384</v>
      </c>
    </row>
    <row r="212" spans="1:14" x14ac:dyDescent="0.3">
      <c r="A212" s="3" t="s">
        <v>21</v>
      </c>
      <c r="B212" s="3" t="s">
        <v>22</v>
      </c>
      <c r="C212" s="3" t="s">
        <v>23</v>
      </c>
      <c r="D212" s="3">
        <v>21157</v>
      </c>
      <c r="E212" s="3">
        <v>0</v>
      </c>
      <c r="F212" s="3" t="s">
        <v>333</v>
      </c>
      <c r="G212" s="3" t="s">
        <v>945</v>
      </c>
      <c r="H212" s="3" t="s">
        <v>669</v>
      </c>
      <c r="I212" s="3" t="s">
        <v>946</v>
      </c>
      <c r="J212" s="3" t="s">
        <v>947</v>
      </c>
      <c r="K212" s="3" t="s">
        <v>948</v>
      </c>
      <c r="L212" s="3" t="s">
        <v>949</v>
      </c>
      <c r="M212" s="3" t="s">
        <v>174</v>
      </c>
      <c r="N212" s="3" t="s">
        <v>499</v>
      </c>
    </row>
    <row r="213" spans="1:14" x14ac:dyDescent="0.3">
      <c r="A213" s="3" t="s">
        <v>21</v>
      </c>
      <c r="B213" s="3" t="s">
        <v>22</v>
      </c>
      <c r="C213" s="3" t="s">
        <v>23</v>
      </c>
      <c r="D213" s="3">
        <v>21157</v>
      </c>
      <c r="E213" s="3">
        <v>3</v>
      </c>
      <c r="F213" s="3" t="s">
        <v>333</v>
      </c>
      <c r="G213" s="3" t="s">
        <v>375</v>
      </c>
      <c r="H213" s="3" t="s">
        <v>170</v>
      </c>
      <c r="I213" s="3" t="s">
        <v>376</v>
      </c>
      <c r="J213" s="3" t="s">
        <v>377</v>
      </c>
      <c r="K213" s="3" t="s">
        <v>378</v>
      </c>
      <c r="L213" s="3" t="s">
        <v>379</v>
      </c>
      <c r="M213" s="3" t="s">
        <v>174</v>
      </c>
      <c r="N213" s="3" t="s">
        <v>355</v>
      </c>
    </row>
    <row r="214" spans="1:14" x14ac:dyDescent="0.3">
      <c r="A214" s="3" t="s">
        <v>21</v>
      </c>
      <c r="B214" s="3" t="s">
        <v>22</v>
      </c>
      <c r="C214" s="3" t="s">
        <v>23</v>
      </c>
      <c r="D214" s="3">
        <v>21157</v>
      </c>
      <c r="E214" s="3">
        <v>3</v>
      </c>
      <c r="F214" s="3" t="s">
        <v>333</v>
      </c>
      <c r="G214" s="3" t="s">
        <v>371</v>
      </c>
      <c r="H214" s="3" t="s">
        <v>170</v>
      </c>
      <c r="I214" s="3" t="s">
        <v>372</v>
      </c>
      <c r="J214" s="3" t="s">
        <v>170</v>
      </c>
      <c r="K214" s="3" t="s">
        <v>373</v>
      </c>
      <c r="L214" s="3" t="s">
        <v>374</v>
      </c>
      <c r="M214" s="3" t="s">
        <v>174</v>
      </c>
      <c r="N214" s="3" t="s">
        <v>355</v>
      </c>
    </row>
    <row r="215" spans="1:14" x14ac:dyDescent="0.3">
      <c r="A215" s="3" t="s">
        <v>21</v>
      </c>
      <c r="B215" s="3" t="s">
        <v>22</v>
      </c>
      <c r="C215" s="3" t="s">
        <v>23</v>
      </c>
      <c r="D215" s="3">
        <v>21157</v>
      </c>
      <c r="E215" s="3">
        <v>3</v>
      </c>
      <c r="F215" s="3" t="s">
        <v>333</v>
      </c>
      <c r="G215" s="3" t="s">
        <v>366</v>
      </c>
      <c r="H215" s="3" t="s">
        <v>170</v>
      </c>
      <c r="I215" s="3" t="s">
        <v>367</v>
      </c>
      <c r="J215" s="3" t="s">
        <v>368</v>
      </c>
      <c r="K215" s="3" t="s">
        <v>369</v>
      </c>
      <c r="L215" s="3" t="s">
        <v>370</v>
      </c>
      <c r="M215" s="3" t="s">
        <v>174</v>
      </c>
      <c r="N215" s="3" t="s">
        <v>355</v>
      </c>
    </row>
    <row r="216" spans="1:14" x14ac:dyDescent="0.3">
      <c r="A216" s="3" t="s">
        <v>21</v>
      </c>
      <c r="B216" s="3" t="s">
        <v>22</v>
      </c>
      <c r="C216" s="3" t="s">
        <v>23</v>
      </c>
      <c r="D216" s="3">
        <v>21157</v>
      </c>
      <c r="E216" s="3">
        <v>0</v>
      </c>
      <c r="F216" s="3" t="s">
        <v>168</v>
      </c>
      <c r="G216" s="3" t="s">
        <v>707</v>
      </c>
      <c r="H216" s="3" t="s">
        <v>669</v>
      </c>
      <c r="I216" s="3" t="s">
        <v>708</v>
      </c>
      <c r="J216" s="3" t="s">
        <v>709</v>
      </c>
      <c r="K216" s="3" t="s">
        <v>710</v>
      </c>
      <c r="L216" s="3" t="s">
        <v>711</v>
      </c>
      <c r="M216" s="3" t="s">
        <v>174</v>
      </c>
      <c r="N216" s="3" t="s">
        <v>712</v>
      </c>
    </row>
    <row r="217" spans="1:14" x14ac:dyDescent="0.3">
      <c r="A217" s="3" t="s">
        <v>21</v>
      </c>
      <c r="B217" s="3" t="s">
        <v>22</v>
      </c>
      <c r="C217" s="3" t="s">
        <v>23</v>
      </c>
      <c r="D217" s="3">
        <v>21157</v>
      </c>
      <c r="E217" s="3">
        <v>0</v>
      </c>
      <c r="F217" s="3" t="s">
        <v>333</v>
      </c>
      <c r="G217" s="3" t="s">
        <v>939</v>
      </c>
      <c r="H217" s="3" t="s">
        <v>669</v>
      </c>
      <c r="I217" s="3" t="s">
        <v>940</v>
      </c>
      <c r="J217" s="3" t="s">
        <v>941</v>
      </c>
      <c r="K217" s="3" t="s">
        <v>942</v>
      </c>
      <c r="L217" s="3" t="s">
        <v>943</v>
      </c>
      <c r="M217" s="3" t="s">
        <v>174</v>
      </c>
      <c r="N217" s="3" t="s">
        <v>944</v>
      </c>
    </row>
    <row r="218" spans="1:14" x14ac:dyDescent="0.3">
      <c r="A218" s="3" t="s">
        <v>21</v>
      </c>
      <c r="B218" s="3" t="s">
        <v>22</v>
      </c>
      <c r="C218" s="3" t="s">
        <v>23</v>
      </c>
      <c r="D218" s="3">
        <v>21157</v>
      </c>
      <c r="E218" s="3">
        <v>0</v>
      </c>
      <c r="F218" s="3" t="s">
        <v>333</v>
      </c>
      <c r="G218" s="3" t="s">
        <v>935</v>
      </c>
      <c r="H218" s="3" t="s">
        <v>669</v>
      </c>
      <c r="I218" s="3" t="s">
        <v>936</v>
      </c>
      <c r="J218" s="3" t="s">
        <v>352</v>
      </c>
      <c r="K218" s="3" t="s">
        <v>937</v>
      </c>
      <c r="L218" s="3" t="s">
        <v>938</v>
      </c>
      <c r="M218" s="3" t="s">
        <v>174</v>
      </c>
      <c r="N218" s="3" t="s">
        <v>355</v>
      </c>
    </row>
    <row r="219" spans="1:14" x14ac:dyDescent="0.3">
      <c r="A219" s="3" t="s">
        <v>21</v>
      </c>
      <c r="B219" s="3" t="s">
        <v>22</v>
      </c>
      <c r="C219" s="3" t="s">
        <v>23</v>
      </c>
      <c r="D219" s="3">
        <v>21157</v>
      </c>
      <c r="E219" s="3">
        <v>0</v>
      </c>
      <c r="F219" s="3" t="s">
        <v>333</v>
      </c>
      <c r="G219" s="3" t="s">
        <v>930</v>
      </c>
      <c r="H219" s="3" t="s">
        <v>669</v>
      </c>
      <c r="I219" s="3" t="s">
        <v>931</v>
      </c>
      <c r="J219" s="3" t="s">
        <v>932</v>
      </c>
      <c r="K219" s="3" t="s">
        <v>933</v>
      </c>
      <c r="L219" s="3" t="s">
        <v>934</v>
      </c>
      <c r="M219" s="3" t="s">
        <v>174</v>
      </c>
      <c r="N219" s="3" t="s">
        <v>513</v>
      </c>
    </row>
    <row r="220" spans="1:14" x14ac:dyDescent="0.3">
      <c r="A220" s="3" t="s">
        <v>21</v>
      </c>
      <c r="B220" s="3" t="s">
        <v>22</v>
      </c>
      <c r="C220" s="3" t="s">
        <v>23</v>
      </c>
      <c r="D220" s="3">
        <v>21157</v>
      </c>
      <c r="E220" s="3">
        <v>0</v>
      </c>
      <c r="F220" s="3" t="s">
        <v>333</v>
      </c>
      <c r="G220" s="3" t="s">
        <v>925</v>
      </c>
      <c r="H220" s="3" t="s">
        <v>669</v>
      </c>
      <c r="I220" s="3" t="s">
        <v>926</v>
      </c>
      <c r="J220" s="3" t="s">
        <v>927</v>
      </c>
      <c r="K220" s="3" t="s">
        <v>928</v>
      </c>
      <c r="L220" s="3" t="s">
        <v>929</v>
      </c>
      <c r="M220" s="3" t="s">
        <v>174</v>
      </c>
      <c r="N220" s="3" t="s">
        <v>360</v>
      </c>
    </row>
    <row r="221" spans="1:14" x14ac:dyDescent="0.3">
      <c r="A221" s="3" t="s">
        <v>21</v>
      </c>
      <c r="B221" s="3" t="s">
        <v>22</v>
      </c>
      <c r="C221" s="3" t="s">
        <v>23</v>
      </c>
      <c r="D221" s="3">
        <v>21157</v>
      </c>
      <c r="E221" s="3">
        <v>3</v>
      </c>
      <c r="F221" s="3" t="s">
        <v>333</v>
      </c>
      <c r="G221" s="3" t="s">
        <v>361</v>
      </c>
      <c r="H221" s="3" t="s">
        <v>170</v>
      </c>
      <c r="I221" s="3" t="s">
        <v>362</v>
      </c>
      <c r="J221" s="3" t="s">
        <v>170</v>
      </c>
      <c r="K221" s="3" t="s">
        <v>363</v>
      </c>
      <c r="L221" s="3" t="s">
        <v>364</v>
      </c>
      <c r="M221" s="3" t="s">
        <v>174</v>
      </c>
      <c r="N221" s="3" t="s">
        <v>365</v>
      </c>
    </row>
    <row r="222" spans="1:14" x14ac:dyDescent="0.3">
      <c r="A222" s="3" t="s">
        <v>21</v>
      </c>
      <c r="B222" s="3" t="s">
        <v>22</v>
      </c>
      <c r="C222" s="3" t="s">
        <v>23</v>
      </c>
      <c r="D222" s="3">
        <v>21157</v>
      </c>
      <c r="E222" s="3">
        <v>0</v>
      </c>
      <c r="F222" s="3" t="s">
        <v>333</v>
      </c>
      <c r="G222" s="3" t="s">
        <v>919</v>
      </c>
      <c r="H222" s="3" t="s">
        <v>669</v>
      </c>
      <c r="I222" s="3" t="s">
        <v>920</v>
      </c>
      <c r="J222" s="3" t="s">
        <v>921</v>
      </c>
      <c r="K222" s="3" t="s">
        <v>922</v>
      </c>
      <c r="L222" s="3" t="s">
        <v>923</v>
      </c>
      <c r="M222" s="3" t="s">
        <v>174</v>
      </c>
      <c r="N222" s="3" t="s">
        <v>924</v>
      </c>
    </row>
    <row r="223" spans="1:14" x14ac:dyDescent="0.3">
      <c r="A223" s="3" t="s">
        <v>21</v>
      </c>
      <c r="B223" s="3" t="s">
        <v>22</v>
      </c>
      <c r="C223" s="3" t="s">
        <v>23</v>
      </c>
      <c r="D223" s="3">
        <v>21157</v>
      </c>
      <c r="E223" s="3">
        <v>3</v>
      </c>
      <c r="F223" s="3" t="s">
        <v>333</v>
      </c>
      <c r="G223" s="3" t="s">
        <v>356</v>
      </c>
      <c r="H223" s="3" t="s">
        <v>170</v>
      </c>
      <c r="I223" s="3" t="s">
        <v>357</v>
      </c>
      <c r="J223" s="3" t="s">
        <v>170</v>
      </c>
      <c r="K223" s="3" t="s">
        <v>358</v>
      </c>
      <c r="L223" s="3" t="s">
        <v>359</v>
      </c>
      <c r="M223" s="3" t="s">
        <v>174</v>
      </c>
      <c r="N223" s="3" t="s">
        <v>360</v>
      </c>
    </row>
    <row r="224" spans="1:14" x14ac:dyDescent="0.3">
      <c r="A224" s="3" t="s">
        <v>21</v>
      </c>
      <c r="B224" s="3" t="s">
        <v>22</v>
      </c>
      <c r="C224" s="3" t="s">
        <v>23</v>
      </c>
      <c r="D224" s="3">
        <v>21157</v>
      </c>
      <c r="E224" s="3">
        <v>0</v>
      </c>
      <c r="F224" s="3" t="s">
        <v>333</v>
      </c>
      <c r="G224" s="3" t="s">
        <v>915</v>
      </c>
      <c r="H224" s="3" t="s">
        <v>669</v>
      </c>
      <c r="I224" s="3" t="s">
        <v>916</v>
      </c>
      <c r="J224" s="3" t="s">
        <v>669</v>
      </c>
      <c r="K224" s="3" t="s">
        <v>917</v>
      </c>
      <c r="L224" s="3" t="s">
        <v>918</v>
      </c>
      <c r="M224" s="3" t="s">
        <v>174</v>
      </c>
      <c r="N224" s="3" t="s">
        <v>360</v>
      </c>
    </row>
    <row r="225" spans="1:14" x14ac:dyDescent="0.3">
      <c r="A225" s="3" t="s">
        <v>21</v>
      </c>
      <c r="B225" s="3" t="s">
        <v>22</v>
      </c>
      <c r="C225" s="3" t="s">
        <v>23</v>
      </c>
      <c r="D225" s="3">
        <v>21157</v>
      </c>
      <c r="E225" s="3">
        <v>0</v>
      </c>
      <c r="F225" s="3" t="s">
        <v>333</v>
      </c>
      <c r="G225" s="3" t="s">
        <v>911</v>
      </c>
      <c r="H225" s="3" t="s">
        <v>669</v>
      </c>
      <c r="I225" s="3" t="s">
        <v>912</v>
      </c>
      <c r="J225" s="3" t="s">
        <v>669</v>
      </c>
      <c r="K225" s="3" t="s">
        <v>913</v>
      </c>
      <c r="L225" s="3" t="s">
        <v>914</v>
      </c>
      <c r="M225" s="3" t="s">
        <v>174</v>
      </c>
      <c r="N225" s="3" t="s">
        <v>903</v>
      </c>
    </row>
    <row r="226" spans="1:14" x14ac:dyDescent="0.3">
      <c r="A226" s="3" t="s">
        <v>21</v>
      </c>
      <c r="B226" s="3" t="s">
        <v>22</v>
      </c>
      <c r="C226" s="3" t="s">
        <v>23</v>
      </c>
      <c r="D226" s="3">
        <v>21157</v>
      </c>
      <c r="E226" s="3">
        <v>0</v>
      </c>
      <c r="F226" s="3" t="s">
        <v>333</v>
      </c>
      <c r="G226" s="3" t="s">
        <v>909</v>
      </c>
      <c r="H226" s="3" t="s">
        <v>669</v>
      </c>
      <c r="I226" s="3"/>
      <c r="J226" s="3" t="s">
        <v>669</v>
      </c>
      <c r="K226" s="3" t="s">
        <v>905</v>
      </c>
      <c r="L226" s="3" t="s">
        <v>910</v>
      </c>
      <c r="M226" s="3" t="s">
        <v>174</v>
      </c>
      <c r="N226" s="3" t="s">
        <v>360</v>
      </c>
    </row>
    <row r="227" spans="1:14" x14ac:dyDescent="0.3">
      <c r="A227" s="3" t="s">
        <v>21</v>
      </c>
      <c r="B227" s="3" t="s">
        <v>22</v>
      </c>
      <c r="C227" s="3" t="s">
        <v>23</v>
      </c>
      <c r="D227" s="3">
        <v>21157</v>
      </c>
      <c r="E227" s="3">
        <v>0</v>
      </c>
      <c r="F227" s="3" t="s">
        <v>333</v>
      </c>
      <c r="G227" s="3" t="s">
        <v>907</v>
      </c>
      <c r="H227" s="3" t="s">
        <v>669</v>
      </c>
      <c r="I227" s="3"/>
      <c r="J227" s="3" t="s">
        <v>669</v>
      </c>
      <c r="K227" s="3" t="s">
        <v>905</v>
      </c>
      <c r="L227" s="3" t="s">
        <v>908</v>
      </c>
      <c r="M227" s="3" t="s">
        <v>174</v>
      </c>
      <c r="N227" s="3" t="s">
        <v>360</v>
      </c>
    </row>
    <row r="228" spans="1:14" x14ac:dyDescent="0.3">
      <c r="A228" s="3" t="s">
        <v>21</v>
      </c>
      <c r="B228" s="3" t="s">
        <v>22</v>
      </c>
      <c r="C228" s="3" t="s">
        <v>23</v>
      </c>
      <c r="D228" s="3">
        <v>21157</v>
      </c>
      <c r="E228" s="3">
        <v>0</v>
      </c>
      <c r="F228" s="3" t="s">
        <v>333</v>
      </c>
      <c r="G228" s="3" t="s">
        <v>904</v>
      </c>
      <c r="H228" s="3" t="s">
        <v>669</v>
      </c>
      <c r="I228" s="3"/>
      <c r="J228" s="3" t="s">
        <v>669</v>
      </c>
      <c r="K228" s="3" t="s">
        <v>905</v>
      </c>
      <c r="L228" s="3" t="s">
        <v>906</v>
      </c>
      <c r="M228" s="3" t="s">
        <v>174</v>
      </c>
      <c r="N228" s="3" t="s">
        <v>360</v>
      </c>
    </row>
    <row r="229" spans="1:14" x14ac:dyDescent="0.3">
      <c r="A229" s="3" t="s">
        <v>21</v>
      </c>
      <c r="B229" s="3" t="s">
        <v>22</v>
      </c>
      <c r="C229" s="3" t="s">
        <v>23</v>
      </c>
      <c r="D229" s="3">
        <v>21157</v>
      </c>
      <c r="E229" s="3">
        <v>0</v>
      </c>
      <c r="F229" s="3" t="s">
        <v>333</v>
      </c>
      <c r="G229" s="3" t="s">
        <v>900</v>
      </c>
      <c r="H229" s="3" t="s">
        <v>669</v>
      </c>
      <c r="I229" s="3"/>
      <c r="J229" s="3" t="s">
        <v>669</v>
      </c>
      <c r="K229" s="3" t="s">
        <v>901</v>
      </c>
      <c r="L229" s="3" t="s">
        <v>902</v>
      </c>
      <c r="M229" s="3" t="s">
        <v>174</v>
      </c>
      <c r="N229" s="3" t="s">
        <v>903</v>
      </c>
    </row>
    <row r="230" spans="1:14" x14ac:dyDescent="0.3">
      <c r="A230" s="3" t="s">
        <v>21</v>
      </c>
      <c r="B230" s="3" t="s">
        <v>22</v>
      </c>
      <c r="C230" s="3" t="s">
        <v>23</v>
      </c>
      <c r="D230" s="3">
        <v>21157</v>
      </c>
      <c r="E230" s="3">
        <v>0</v>
      </c>
      <c r="F230" s="3" t="s">
        <v>333</v>
      </c>
      <c r="G230" s="3" t="s">
        <v>897</v>
      </c>
      <c r="H230" s="3" t="s">
        <v>669</v>
      </c>
      <c r="I230" s="3"/>
      <c r="J230" s="3" t="s">
        <v>669</v>
      </c>
      <c r="K230" s="3" t="s">
        <v>898</v>
      </c>
      <c r="L230" s="3" t="s">
        <v>899</v>
      </c>
      <c r="M230" s="3" t="s">
        <v>174</v>
      </c>
      <c r="N230" s="3" t="s">
        <v>513</v>
      </c>
    </row>
    <row r="231" spans="1:14" x14ac:dyDescent="0.3">
      <c r="A231" s="3" t="s">
        <v>21</v>
      </c>
      <c r="B231" s="3" t="s">
        <v>22</v>
      </c>
      <c r="C231" s="3" t="s">
        <v>23</v>
      </c>
      <c r="D231" s="3">
        <v>21157</v>
      </c>
      <c r="E231" s="3">
        <v>0</v>
      </c>
      <c r="F231" s="3" t="s">
        <v>333</v>
      </c>
      <c r="G231" s="3" t="s">
        <v>893</v>
      </c>
      <c r="H231" s="3" t="s">
        <v>669</v>
      </c>
      <c r="I231" s="3"/>
      <c r="J231" s="3" t="s">
        <v>669</v>
      </c>
      <c r="K231" s="3" t="s">
        <v>894</v>
      </c>
      <c r="L231" s="3" t="s">
        <v>895</v>
      </c>
      <c r="M231" s="3" t="s">
        <v>174</v>
      </c>
      <c r="N231" s="3" t="s">
        <v>896</v>
      </c>
    </row>
    <row r="232" spans="1:14" x14ac:dyDescent="0.3">
      <c r="A232" s="3" t="s">
        <v>21</v>
      </c>
      <c r="B232" s="3" t="s">
        <v>22</v>
      </c>
      <c r="C232" s="3" t="s">
        <v>23</v>
      </c>
      <c r="D232" s="3">
        <v>21157</v>
      </c>
      <c r="E232" s="3">
        <v>0</v>
      </c>
      <c r="F232" s="3" t="s">
        <v>333</v>
      </c>
      <c r="G232" s="3" t="s">
        <v>890</v>
      </c>
      <c r="H232" s="3" t="s">
        <v>669</v>
      </c>
      <c r="I232" s="3"/>
      <c r="J232" s="3" t="s">
        <v>669</v>
      </c>
      <c r="K232" s="3" t="s">
        <v>891</v>
      </c>
      <c r="L232" s="3" t="s">
        <v>892</v>
      </c>
      <c r="M232" s="3" t="s">
        <v>174</v>
      </c>
      <c r="N232" s="3" t="s">
        <v>513</v>
      </c>
    </row>
    <row r="233" spans="1:14" x14ac:dyDescent="0.3">
      <c r="A233" s="3" t="s">
        <v>21</v>
      </c>
      <c r="B233" s="3" t="s">
        <v>22</v>
      </c>
      <c r="C233" s="3" t="s">
        <v>23</v>
      </c>
      <c r="D233" s="3">
        <v>21157</v>
      </c>
      <c r="E233" s="3">
        <v>0</v>
      </c>
      <c r="F233" s="3" t="s">
        <v>333</v>
      </c>
      <c r="G233" s="3" t="s">
        <v>887</v>
      </c>
      <c r="H233" s="3" t="s">
        <v>669</v>
      </c>
      <c r="I233" s="3"/>
      <c r="J233" s="3" t="s">
        <v>669</v>
      </c>
      <c r="K233" s="3" t="s">
        <v>888</v>
      </c>
      <c r="L233" s="3" t="s">
        <v>889</v>
      </c>
      <c r="M233" s="3" t="s">
        <v>174</v>
      </c>
      <c r="N233" s="3" t="s">
        <v>365</v>
      </c>
    </row>
    <row r="234" spans="1:14" x14ac:dyDescent="0.3">
      <c r="A234" s="3" t="s">
        <v>21</v>
      </c>
      <c r="B234" s="3" t="s">
        <v>22</v>
      </c>
      <c r="C234" s="3" t="s">
        <v>23</v>
      </c>
      <c r="D234" s="3">
        <v>21157</v>
      </c>
      <c r="E234" s="3">
        <v>0</v>
      </c>
      <c r="F234" s="3" t="s">
        <v>333</v>
      </c>
      <c r="G234" s="3" t="s">
        <v>884</v>
      </c>
      <c r="H234" s="3" t="s">
        <v>669</v>
      </c>
      <c r="I234" s="3"/>
      <c r="J234" s="3" t="s">
        <v>669</v>
      </c>
      <c r="K234" s="3" t="s">
        <v>885</v>
      </c>
      <c r="L234" s="3" t="s">
        <v>886</v>
      </c>
      <c r="M234" s="3" t="s">
        <v>174</v>
      </c>
      <c r="N234" s="3" t="s">
        <v>360</v>
      </c>
    </row>
    <row r="235" spans="1:14" x14ac:dyDescent="0.3">
      <c r="A235" s="3" t="s">
        <v>21</v>
      </c>
      <c r="B235" s="3" t="s">
        <v>22</v>
      </c>
      <c r="C235" s="3" t="s">
        <v>23</v>
      </c>
      <c r="D235" s="3">
        <v>21157</v>
      </c>
      <c r="E235" s="3">
        <v>2</v>
      </c>
      <c r="F235" s="3" t="s">
        <v>333</v>
      </c>
      <c r="G235" s="3" t="s">
        <v>610</v>
      </c>
      <c r="H235" s="3" t="s">
        <v>593</v>
      </c>
      <c r="I235" s="3"/>
      <c r="J235" s="3" t="s">
        <v>593</v>
      </c>
      <c r="K235" s="3" t="s">
        <v>611</v>
      </c>
      <c r="L235" s="3" t="s">
        <v>612</v>
      </c>
      <c r="M235" s="3" t="s">
        <v>174</v>
      </c>
      <c r="N235" s="3" t="s">
        <v>613</v>
      </c>
    </row>
    <row r="236" spans="1:14" x14ac:dyDescent="0.3">
      <c r="A236" s="3" t="s">
        <v>21</v>
      </c>
      <c r="B236" s="3" t="s">
        <v>22</v>
      </c>
      <c r="C236" s="3" t="s">
        <v>23</v>
      </c>
      <c r="D236" s="3">
        <v>21157</v>
      </c>
      <c r="E236" s="3">
        <v>3</v>
      </c>
      <c r="F236" s="3" t="s">
        <v>333</v>
      </c>
      <c r="G236" s="3" t="s">
        <v>350</v>
      </c>
      <c r="H236" s="3" t="s">
        <v>170</v>
      </c>
      <c r="I236" s="3" t="s">
        <v>351</v>
      </c>
      <c r="J236" s="3" t="s">
        <v>352</v>
      </c>
      <c r="K236" s="3" t="s">
        <v>353</v>
      </c>
      <c r="L236" s="3" t="s">
        <v>354</v>
      </c>
      <c r="M236" s="3" t="s">
        <v>174</v>
      </c>
      <c r="N236" s="3" t="s">
        <v>355</v>
      </c>
    </row>
    <row r="237" spans="1:14" x14ac:dyDescent="0.3">
      <c r="A237" s="3" t="s">
        <v>21</v>
      </c>
      <c r="B237" s="3" t="s">
        <v>22</v>
      </c>
      <c r="C237" s="3" t="s">
        <v>23</v>
      </c>
      <c r="D237" s="3">
        <v>21157</v>
      </c>
      <c r="E237" s="3">
        <v>0</v>
      </c>
      <c r="F237" s="3" t="s">
        <v>168</v>
      </c>
      <c r="G237" s="3" t="s">
        <v>702</v>
      </c>
      <c r="H237" s="3" t="s">
        <v>669</v>
      </c>
      <c r="I237" s="3" t="s">
        <v>703</v>
      </c>
      <c r="J237" s="3" t="s">
        <v>669</v>
      </c>
      <c r="K237" s="3" t="s">
        <v>704</v>
      </c>
      <c r="L237" s="3" t="s">
        <v>705</v>
      </c>
      <c r="M237" s="3" t="s">
        <v>174</v>
      </c>
      <c r="N237" s="3" t="s">
        <v>706</v>
      </c>
    </row>
    <row r="238" spans="1:14" x14ac:dyDescent="0.3">
      <c r="A238" s="3" t="s">
        <v>21</v>
      </c>
      <c r="B238" s="3" t="s">
        <v>22</v>
      </c>
      <c r="C238" s="3" t="s">
        <v>23</v>
      </c>
      <c r="D238" s="3">
        <v>21157</v>
      </c>
      <c r="E238" s="3">
        <v>3</v>
      </c>
      <c r="F238" s="3" t="s">
        <v>168</v>
      </c>
      <c r="G238" s="3" t="s">
        <v>304</v>
      </c>
      <c r="H238" s="3" t="s">
        <v>170</v>
      </c>
      <c r="I238" s="3" t="s">
        <v>305</v>
      </c>
      <c r="J238" s="3" t="s">
        <v>170</v>
      </c>
      <c r="K238" s="3" t="s">
        <v>306</v>
      </c>
      <c r="L238" s="3" t="s">
        <v>307</v>
      </c>
      <c r="M238" s="3" t="s">
        <v>174</v>
      </c>
      <c r="N238" s="3" t="s">
        <v>241</v>
      </c>
    </row>
    <row r="239" spans="1:14" x14ac:dyDescent="0.3">
      <c r="A239" s="3" t="s">
        <v>21</v>
      </c>
      <c r="B239" s="3" t="s">
        <v>22</v>
      </c>
      <c r="C239" s="3" t="s">
        <v>23</v>
      </c>
      <c r="D239" s="3">
        <v>21157</v>
      </c>
      <c r="E239" s="3">
        <v>3</v>
      </c>
      <c r="F239" s="3" t="s">
        <v>168</v>
      </c>
      <c r="G239" s="3" t="s">
        <v>300</v>
      </c>
      <c r="H239" s="3" t="s">
        <v>170</v>
      </c>
      <c r="I239" s="3" t="s">
        <v>301</v>
      </c>
      <c r="J239" s="3" t="s">
        <v>170</v>
      </c>
      <c r="K239" s="3" t="s">
        <v>302</v>
      </c>
      <c r="L239" s="3" t="s">
        <v>303</v>
      </c>
      <c r="M239" s="3" t="s">
        <v>174</v>
      </c>
      <c r="N239" s="3" t="s">
        <v>241</v>
      </c>
    </row>
    <row r="240" spans="1:14" x14ac:dyDescent="0.3">
      <c r="A240" s="3" t="s">
        <v>21</v>
      </c>
      <c r="B240" s="3" t="s">
        <v>22</v>
      </c>
      <c r="C240" s="3" t="s">
        <v>23</v>
      </c>
      <c r="D240" s="3">
        <v>21157</v>
      </c>
      <c r="E240" s="3">
        <v>0</v>
      </c>
      <c r="F240" s="3" t="s">
        <v>168</v>
      </c>
      <c r="G240" s="3" t="s">
        <v>696</v>
      </c>
      <c r="H240" s="3" t="s">
        <v>669</v>
      </c>
      <c r="I240" s="3" t="s">
        <v>697</v>
      </c>
      <c r="J240" s="3" t="s">
        <v>698</v>
      </c>
      <c r="K240" s="3" t="s">
        <v>699</v>
      </c>
      <c r="L240" s="3" t="s">
        <v>700</v>
      </c>
      <c r="M240" s="3" t="s">
        <v>174</v>
      </c>
      <c r="N240" s="3" t="s">
        <v>701</v>
      </c>
    </row>
    <row r="241" spans="1:14" x14ac:dyDescent="0.3">
      <c r="A241" s="3" t="s">
        <v>21</v>
      </c>
      <c r="B241" s="3" t="s">
        <v>22</v>
      </c>
      <c r="C241" s="3" t="s">
        <v>23</v>
      </c>
      <c r="D241" s="3">
        <v>21157</v>
      </c>
      <c r="E241" s="3">
        <v>3</v>
      </c>
      <c r="F241" s="3" t="s">
        <v>168</v>
      </c>
      <c r="G241" s="3" t="s">
        <v>296</v>
      </c>
      <c r="H241" s="3" t="s">
        <v>170</v>
      </c>
      <c r="I241" s="3" t="s">
        <v>291</v>
      </c>
      <c r="J241" s="3" t="s">
        <v>297</v>
      </c>
      <c r="K241" s="3" t="s">
        <v>298</v>
      </c>
      <c r="L241" s="3" t="s">
        <v>299</v>
      </c>
      <c r="M241" s="3" t="s">
        <v>174</v>
      </c>
      <c r="N241" s="3" t="s">
        <v>295</v>
      </c>
    </row>
    <row r="242" spans="1:14" x14ac:dyDescent="0.3">
      <c r="A242" s="3" t="s">
        <v>21</v>
      </c>
      <c r="B242" s="3" t="s">
        <v>22</v>
      </c>
      <c r="C242" s="3" t="s">
        <v>23</v>
      </c>
      <c r="D242" s="3">
        <v>21157</v>
      </c>
      <c r="E242" s="3">
        <v>3</v>
      </c>
      <c r="F242" s="3" t="s">
        <v>168</v>
      </c>
      <c r="G242" s="3" t="s">
        <v>290</v>
      </c>
      <c r="H242" s="3" t="s">
        <v>170</v>
      </c>
      <c r="I242" s="3" t="s">
        <v>291</v>
      </c>
      <c r="J242" s="3" t="s">
        <v>292</v>
      </c>
      <c r="K242" s="3" t="s">
        <v>293</v>
      </c>
      <c r="L242" s="3" t="s">
        <v>294</v>
      </c>
      <c r="M242" s="3" t="s">
        <v>174</v>
      </c>
      <c r="N242" s="3" t="s">
        <v>295</v>
      </c>
    </row>
    <row r="243" spans="1:14" x14ac:dyDescent="0.3">
      <c r="A243" s="3" t="s">
        <v>21</v>
      </c>
      <c r="B243" s="3" t="s">
        <v>22</v>
      </c>
      <c r="C243" s="3" t="s">
        <v>23</v>
      </c>
      <c r="D243" s="3">
        <v>21157</v>
      </c>
      <c r="E243" s="3">
        <v>3</v>
      </c>
      <c r="F243" s="3" t="s">
        <v>168</v>
      </c>
      <c r="G243" s="3" t="s">
        <v>286</v>
      </c>
      <c r="H243" s="3" t="s">
        <v>170</v>
      </c>
      <c r="I243" s="3" t="s">
        <v>287</v>
      </c>
      <c r="J243" s="3" t="s">
        <v>170</v>
      </c>
      <c r="K243" s="3" t="s">
        <v>288</v>
      </c>
      <c r="L243" s="3" t="s">
        <v>289</v>
      </c>
      <c r="M243" s="3" t="s">
        <v>174</v>
      </c>
      <c r="N243" s="3" t="s">
        <v>285</v>
      </c>
    </row>
    <row r="244" spans="1:14" x14ac:dyDescent="0.3">
      <c r="A244" s="3" t="s">
        <v>21</v>
      </c>
      <c r="B244" s="3" t="s">
        <v>22</v>
      </c>
      <c r="C244" s="3" t="s">
        <v>23</v>
      </c>
      <c r="D244" s="3">
        <v>21157</v>
      </c>
      <c r="E244" s="3">
        <v>3</v>
      </c>
      <c r="F244" s="3" t="s">
        <v>168</v>
      </c>
      <c r="G244" s="3" t="s">
        <v>281</v>
      </c>
      <c r="H244" s="3" t="s">
        <v>170</v>
      </c>
      <c r="I244" s="3" t="s">
        <v>282</v>
      </c>
      <c r="J244" s="3" t="s">
        <v>170</v>
      </c>
      <c r="K244" s="3" t="s">
        <v>283</v>
      </c>
      <c r="L244" s="3" t="s">
        <v>284</v>
      </c>
      <c r="M244" s="3" t="s">
        <v>174</v>
      </c>
      <c r="N244" s="3" t="s">
        <v>285</v>
      </c>
    </row>
    <row r="245" spans="1:14" x14ac:dyDescent="0.3">
      <c r="A245" s="3" t="s">
        <v>21</v>
      </c>
      <c r="B245" s="3" t="s">
        <v>22</v>
      </c>
      <c r="C245" s="3" t="s">
        <v>23</v>
      </c>
      <c r="D245" s="3">
        <v>21157</v>
      </c>
      <c r="E245" s="3">
        <v>3</v>
      </c>
      <c r="F245" s="3" t="s">
        <v>168</v>
      </c>
      <c r="G245" s="3" t="s">
        <v>277</v>
      </c>
      <c r="H245" s="3" t="s">
        <v>170</v>
      </c>
      <c r="I245" s="3" t="s">
        <v>278</v>
      </c>
      <c r="J245" s="3" t="s">
        <v>170</v>
      </c>
      <c r="K245" s="3" t="s">
        <v>279</v>
      </c>
      <c r="L245" s="3" t="s">
        <v>280</v>
      </c>
      <c r="M245" s="3" t="s">
        <v>174</v>
      </c>
      <c r="N245" s="3" t="s">
        <v>193</v>
      </c>
    </row>
    <row r="246" spans="1:14" x14ac:dyDescent="0.3">
      <c r="A246" s="3" t="s">
        <v>21</v>
      </c>
      <c r="B246" s="3" t="s">
        <v>22</v>
      </c>
      <c r="C246" s="3" t="s">
        <v>23</v>
      </c>
      <c r="D246" s="3">
        <v>21157</v>
      </c>
      <c r="E246" s="3">
        <v>3</v>
      </c>
      <c r="F246" s="3" t="s">
        <v>168</v>
      </c>
      <c r="G246" s="3" t="s">
        <v>272</v>
      </c>
      <c r="H246" s="3" t="s">
        <v>170</v>
      </c>
      <c r="I246" s="3" t="s">
        <v>273</v>
      </c>
      <c r="J246" s="3" t="s">
        <v>170</v>
      </c>
      <c r="K246" s="3" t="s">
        <v>274</v>
      </c>
      <c r="L246" s="3" t="s">
        <v>275</v>
      </c>
      <c r="M246" s="3" t="s">
        <v>174</v>
      </c>
      <c r="N246" s="3" t="s">
        <v>276</v>
      </c>
    </row>
    <row r="247" spans="1:14" x14ac:dyDescent="0.3">
      <c r="A247" s="3" t="s">
        <v>21</v>
      </c>
      <c r="B247" s="3" t="s">
        <v>22</v>
      </c>
      <c r="C247" s="3" t="s">
        <v>23</v>
      </c>
      <c r="D247" s="3">
        <v>21157</v>
      </c>
      <c r="E247" s="3">
        <v>3</v>
      </c>
      <c r="F247" s="3" t="s">
        <v>168</v>
      </c>
      <c r="G247" s="3" t="s">
        <v>267</v>
      </c>
      <c r="H247" s="3" t="s">
        <v>170</v>
      </c>
      <c r="I247" s="3" t="s">
        <v>268</v>
      </c>
      <c r="J247" s="3" t="s">
        <v>170</v>
      </c>
      <c r="K247" s="3" t="s">
        <v>269</v>
      </c>
      <c r="L247" s="3" t="s">
        <v>270</v>
      </c>
      <c r="M247" s="3" t="s">
        <v>174</v>
      </c>
      <c r="N247" s="3" t="s">
        <v>271</v>
      </c>
    </row>
    <row r="248" spans="1:14" x14ac:dyDescent="0.3">
      <c r="A248" s="3" t="s">
        <v>21</v>
      </c>
      <c r="B248" s="3" t="s">
        <v>22</v>
      </c>
      <c r="C248" s="3" t="s">
        <v>23</v>
      </c>
      <c r="D248" s="3">
        <v>21157</v>
      </c>
      <c r="E248" s="3">
        <v>3</v>
      </c>
      <c r="F248" s="3" t="s">
        <v>168</v>
      </c>
      <c r="G248" s="3" t="s">
        <v>262</v>
      </c>
      <c r="H248" s="3" t="s">
        <v>170</v>
      </c>
      <c r="I248" s="3" t="s">
        <v>263</v>
      </c>
      <c r="J248" s="3" t="s">
        <v>170</v>
      </c>
      <c r="K248" s="3" t="s">
        <v>264</v>
      </c>
      <c r="L248" s="3" t="s">
        <v>265</v>
      </c>
      <c r="M248" s="3" t="s">
        <v>174</v>
      </c>
      <c r="N248" s="3" t="s">
        <v>266</v>
      </c>
    </row>
    <row r="249" spans="1:14" x14ac:dyDescent="0.3">
      <c r="A249" s="3" t="s">
        <v>21</v>
      </c>
      <c r="B249" s="3" t="s">
        <v>22</v>
      </c>
      <c r="C249" s="3" t="s">
        <v>23</v>
      </c>
      <c r="D249" s="3">
        <v>21157</v>
      </c>
      <c r="E249" s="3">
        <v>3</v>
      </c>
      <c r="F249" s="3" t="s">
        <v>168</v>
      </c>
      <c r="G249" s="3" t="s">
        <v>258</v>
      </c>
      <c r="H249" s="3" t="s">
        <v>170</v>
      </c>
      <c r="I249" s="3" t="s">
        <v>259</v>
      </c>
      <c r="J249" s="3" t="s">
        <v>170</v>
      </c>
      <c r="K249" s="3" t="s">
        <v>260</v>
      </c>
      <c r="L249" s="3" t="s">
        <v>261</v>
      </c>
      <c r="M249" s="3" t="s">
        <v>174</v>
      </c>
      <c r="N249" s="3" t="s">
        <v>203</v>
      </c>
    </row>
    <row r="250" spans="1:14" x14ac:dyDescent="0.3">
      <c r="A250" s="3" t="s">
        <v>21</v>
      </c>
      <c r="B250" s="3" t="s">
        <v>22</v>
      </c>
      <c r="C250" s="3" t="s">
        <v>23</v>
      </c>
      <c r="D250" s="3">
        <v>21157</v>
      </c>
      <c r="E250" s="3">
        <v>3</v>
      </c>
      <c r="F250" s="3" t="s">
        <v>168</v>
      </c>
      <c r="G250" s="3" t="s">
        <v>254</v>
      </c>
      <c r="H250" s="3" t="s">
        <v>170</v>
      </c>
      <c r="I250" s="3" t="s">
        <v>255</v>
      </c>
      <c r="J250" s="3" t="s">
        <v>170</v>
      </c>
      <c r="K250" s="3" t="s">
        <v>256</v>
      </c>
      <c r="L250" s="3" t="s">
        <v>257</v>
      </c>
      <c r="M250" s="3" t="s">
        <v>174</v>
      </c>
      <c r="N250" s="3" t="s">
        <v>188</v>
      </c>
    </row>
    <row r="251" spans="1:14" x14ac:dyDescent="0.3">
      <c r="A251" s="3" t="s">
        <v>21</v>
      </c>
      <c r="B251" s="3" t="s">
        <v>22</v>
      </c>
      <c r="C251" s="3" t="s">
        <v>23</v>
      </c>
      <c r="D251" s="3">
        <v>21157</v>
      </c>
      <c r="E251" s="3">
        <v>3</v>
      </c>
      <c r="F251" s="3" t="s">
        <v>168</v>
      </c>
      <c r="G251" s="3" t="s">
        <v>250</v>
      </c>
      <c r="H251" s="3" t="s">
        <v>170</v>
      </c>
      <c r="I251" s="3" t="s">
        <v>251</v>
      </c>
      <c r="J251" s="3" t="s">
        <v>170</v>
      </c>
      <c r="K251" s="3" t="s">
        <v>252</v>
      </c>
      <c r="L251" s="3" t="s">
        <v>253</v>
      </c>
      <c r="M251" s="3" t="s">
        <v>174</v>
      </c>
      <c r="N251" s="3" t="s">
        <v>241</v>
      </c>
    </row>
    <row r="252" spans="1:14" x14ac:dyDescent="0.3">
      <c r="A252" s="3" t="s">
        <v>21</v>
      </c>
      <c r="B252" s="3" t="s">
        <v>22</v>
      </c>
      <c r="C252" s="3" t="s">
        <v>23</v>
      </c>
      <c r="D252" s="3">
        <v>21157</v>
      </c>
      <c r="E252" s="3">
        <v>3</v>
      </c>
      <c r="F252" s="3" t="s">
        <v>168</v>
      </c>
      <c r="G252" s="3" t="s">
        <v>246</v>
      </c>
      <c r="H252" s="3" t="s">
        <v>170</v>
      </c>
      <c r="I252" s="3" t="s">
        <v>247</v>
      </c>
      <c r="J252" s="3" t="s">
        <v>170</v>
      </c>
      <c r="K252" s="3" t="s">
        <v>248</v>
      </c>
      <c r="L252" s="3" t="s">
        <v>249</v>
      </c>
      <c r="M252" s="3" t="s">
        <v>174</v>
      </c>
      <c r="N252" s="3" t="s">
        <v>241</v>
      </c>
    </row>
    <row r="253" spans="1:14" x14ac:dyDescent="0.3">
      <c r="A253" s="3" t="s">
        <v>21</v>
      </c>
      <c r="B253" s="3" t="s">
        <v>22</v>
      </c>
      <c r="C253" s="3" t="s">
        <v>23</v>
      </c>
      <c r="D253" s="3">
        <v>21157</v>
      </c>
      <c r="E253" s="3">
        <v>3</v>
      </c>
      <c r="F253" s="3" t="s">
        <v>168</v>
      </c>
      <c r="G253" s="3" t="s">
        <v>242</v>
      </c>
      <c r="H253" s="3" t="s">
        <v>170</v>
      </c>
      <c r="I253" s="3" t="s">
        <v>243</v>
      </c>
      <c r="J253" s="3" t="s">
        <v>170</v>
      </c>
      <c r="K253" s="3" t="s">
        <v>244</v>
      </c>
      <c r="L253" s="3" t="s">
        <v>245</v>
      </c>
      <c r="M253" s="3" t="s">
        <v>174</v>
      </c>
      <c r="N253" s="3" t="s">
        <v>241</v>
      </c>
    </row>
    <row r="254" spans="1:14" x14ac:dyDescent="0.3">
      <c r="A254" s="3" t="s">
        <v>21</v>
      </c>
      <c r="B254" s="3" t="s">
        <v>22</v>
      </c>
      <c r="C254" s="3" t="s">
        <v>23</v>
      </c>
      <c r="D254" s="3">
        <v>21157</v>
      </c>
      <c r="E254" s="3">
        <v>3</v>
      </c>
      <c r="F254" s="3" t="s">
        <v>168</v>
      </c>
      <c r="G254" s="3" t="s">
        <v>237</v>
      </c>
      <c r="H254" s="3" t="s">
        <v>170</v>
      </c>
      <c r="I254" s="3" t="s">
        <v>238</v>
      </c>
      <c r="J254" s="3" t="s">
        <v>170</v>
      </c>
      <c r="K254" s="3" t="s">
        <v>239</v>
      </c>
      <c r="L254" s="3" t="s">
        <v>240</v>
      </c>
      <c r="M254" s="3" t="s">
        <v>174</v>
      </c>
      <c r="N254" s="3" t="s">
        <v>241</v>
      </c>
    </row>
    <row r="255" spans="1:14" x14ac:dyDescent="0.3">
      <c r="A255" s="3" t="s">
        <v>21</v>
      </c>
      <c r="B255" s="3" t="s">
        <v>22</v>
      </c>
      <c r="C255" s="3" t="s">
        <v>23</v>
      </c>
      <c r="D255" s="3">
        <v>21157</v>
      </c>
      <c r="E255" s="3">
        <v>3</v>
      </c>
      <c r="F255" s="3" t="s">
        <v>168</v>
      </c>
      <c r="G255" s="3" t="s">
        <v>233</v>
      </c>
      <c r="H255" s="3" t="s">
        <v>170</v>
      </c>
      <c r="I255" s="3" t="s">
        <v>234</v>
      </c>
      <c r="J255" s="3" t="s">
        <v>170</v>
      </c>
      <c r="K255" s="3" t="s">
        <v>235</v>
      </c>
      <c r="L255" s="3" t="s">
        <v>236</v>
      </c>
      <c r="M255" s="3" t="s">
        <v>174</v>
      </c>
      <c r="N255" s="3" t="s">
        <v>203</v>
      </c>
    </row>
    <row r="256" spans="1:14" x14ac:dyDescent="0.3">
      <c r="A256" s="3" t="s">
        <v>21</v>
      </c>
      <c r="B256" s="3" t="s">
        <v>22</v>
      </c>
      <c r="C256" s="3" t="s">
        <v>23</v>
      </c>
      <c r="D256" s="3">
        <v>21157</v>
      </c>
      <c r="E256" s="3">
        <v>3</v>
      </c>
      <c r="F256" s="3" t="s">
        <v>168</v>
      </c>
      <c r="G256" s="3" t="s">
        <v>229</v>
      </c>
      <c r="H256" s="3" t="s">
        <v>170</v>
      </c>
      <c r="I256" s="3" t="s">
        <v>230</v>
      </c>
      <c r="J256" s="3" t="s">
        <v>170</v>
      </c>
      <c r="K256" s="3" t="s">
        <v>231</v>
      </c>
      <c r="L256" s="3" t="s">
        <v>232</v>
      </c>
      <c r="M256" s="3" t="s">
        <v>174</v>
      </c>
      <c r="N256" s="3" t="s">
        <v>216</v>
      </c>
    </row>
    <row r="257" spans="1:14" x14ac:dyDescent="0.3">
      <c r="A257" s="3" t="s">
        <v>21</v>
      </c>
      <c r="B257" s="3" t="s">
        <v>22</v>
      </c>
      <c r="C257" s="3" t="s">
        <v>23</v>
      </c>
      <c r="D257" s="3">
        <v>21157</v>
      </c>
      <c r="E257" s="3">
        <v>3</v>
      </c>
      <c r="F257" s="3" t="s">
        <v>168</v>
      </c>
      <c r="G257" s="3" t="s">
        <v>223</v>
      </c>
      <c r="H257" s="3" t="s">
        <v>170</v>
      </c>
      <c r="I257" s="3" t="s">
        <v>224</v>
      </c>
      <c r="J257" s="3" t="s">
        <v>225</v>
      </c>
      <c r="K257" s="3" t="s">
        <v>226</v>
      </c>
      <c r="L257" s="3" t="s">
        <v>227</v>
      </c>
      <c r="M257" s="3" t="s">
        <v>174</v>
      </c>
      <c r="N257" s="3" t="s">
        <v>228</v>
      </c>
    </row>
    <row r="258" spans="1:14" x14ac:dyDescent="0.3">
      <c r="A258" s="3" t="s">
        <v>21</v>
      </c>
      <c r="B258" s="3" t="s">
        <v>22</v>
      </c>
      <c r="C258" s="3" t="s">
        <v>23</v>
      </c>
      <c r="D258" s="3">
        <v>21157</v>
      </c>
      <c r="E258" s="3">
        <v>3</v>
      </c>
      <c r="F258" s="3" t="s">
        <v>168</v>
      </c>
      <c r="G258" s="3" t="s">
        <v>217</v>
      </c>
      <c r="H258" s="3" t="s">
        <v>170</v>
      </c>
      <c r="I258" s="3" t="s">
        <v>218</v>
      </c>
      <c r="J258" s="3" t="s">
        <v>219</v>
      </c>
      <c r="K258" s="3" t="s">
        <v>220</v>
      </c>
      <c r="L258" s="3" t="s">
        <v>221</v>
      </c>
      <c r="M258" s="3" t="s">
        <v>174</v>
      </c>
      <c r="N258" s="3" t="s">
        <v>222</v>
      </c>
    </row>
    <row r="259" spans="1:14" x14ac:dyDescent="0.3">
      <c r="A259" s="3" t="s">
        <v>21</v>
      </c>
      <c r="B259" s="3" t="s">
        <v>22</v>
      </c>
      <c r="C259" s="3" t="s">
        <v>23</v>
      </c>
      <c r="D259" s="3">
        <v>21157</v>
      </c>
      <c r="E259" s="3">
        <v>3</v>
      </c>
      <c r="F259" s="3" t="s">
        <v>168</v>
      </c>
      <c r="G259" s="3" t="s">
        <v>212</v>
      </c>
      <c r="H259" s="3" t="s">
        <v>170</v>
      </c>
      <c r="I259" s="3" t="s">
        <v>213</v>
      </c>
      <c r="J259" s="3" t="s">
        <v>170</v>
      </c>
      <c r="K259" s="3" t="s">
        <v>214</v>
      </c>
      <c r="L259" s="3" t="s">
        <v>215</v>
      </c>
      <c r="M259" s="3" t="s">
        <v>174</v>
      </c>
      <c r="N259" s="3" t="s">
        <v>216</v>
      </c>
    </row>
    <row r="260" spans="1:14" x14ac:dyDescent="0.3">
      <c r="A260" s="3" t="s">
        <v>21</v>
      </c>
      <c r="B260" s="3" t="s">
        <v>22</v>
      </c>
      <c r="C260" s="3" t="s">
        <v>23</v>
      </c>
      <c r="D260" s="3">
        <v>21157</v>
      </c>
      <c r="E260" s="3">
        <v>3</v>
      </c>
      <c r="F260" s="3" t="s">
        <v>168</v>
      </c>
      <c r="G260" s="3" t="s">
        <v>208</v>
      </c>
      <c r="H260" s="3" t="s">
        <v>170</v>
      </c>
      <c r="I260" s="3" t="s">
        <v>209</v>
      </c>
      <c r="J260" s="3" t="s">
        <v>170</v>
      </c>
      <c r="K260" s="3" t="s">
        <v>210</v>
      </c>
      <c r="L260" s="3" t="s">
        <v>211</v>
      </c>
      <c r="M260" s="3" t="s">
        <v>174</v>
      </c>
      <c r="N260" s="3" t="s">
        <v>188</v>
      </c>
    </row>
    <row r="261" spans="1:14" x14ac:dyDescent="0.3">
      <c r="A261" s="3" t="s">
        <v>21</v>
      </c>
      <c r="B261" s="3" t="s">
        <v>22</v>
      </c>
      <c r="C261" s="3" t="s">
        <v>23</v>
      </c>
      <c r="D261" s="3">
        <v>21157</v>
      </c>
      <c r="E261" s="3">
        <v>3</v>
      </c>
      <c r="F261" s="3" t="s">
        <v>168</v>
      </c>
      <c r="G261" s="3" t="s">
        <v>204</v>
      </c>
      <c r="H261" s="3" t="s">
        <v>170</v>
      </c>
      <c r="I261" s="3" t="s">
        <v>205</v>
      </c>
      <c r="J261" s="3" t="s">
        <v>170</v>
      </c>
      <c r="K261" s="3" t="s">
        <v>206</v>
      </c>
      <c r="L261" s="3" t="s">
        <v>207</v>
      </c>
      <c r="M261" s="3" t="s">
        <v>174</v>
      </c>
      <c r="N261" s="3" t="s">
        <v>188</v>
      </c>
    </row>
    <row r="262" spans="1:14" x14ac:dyDescent="0.3">
      <c r="A262" s="3" t="s">
        <v>21</v>
      </c>
      <c r="B262" s="3" t="s">
        <v>22</v>
      </c>
      <c r="C262" s="3" t="s">
        <v>23</v>
      </c>
      <c r="D262" s="3">
        <v>21157</v>
      </c>
      <c r="E262" s="3">
        <v>3</v>
      </c>
      <c r="F262" s="3" t="s">
        <v>168</v>
      </c>
      <c r="G262" s="3" t="s">
        <v>199</v>
      </c>
      <c r="H262" s="3" t="s">
        <v>170</v>
      </c>
      <c r="I262" s="3" t="s">
        <v>200</v>
      </c>
      <c r="J262" s="3" t="s">
        <v>170</v>
      </c>
      <c r="K262" s="3" t="s">
        <v>201</v>
      </c>
      <c r="L262" s="3" t="s">
        <v>202</v>
      </c>
      <c r="M262" s="3" t="s">
        <v>174</v>
      </c>
      <c r="N262" s="3" t="s">
        <v>203</v>
      </c>
    </row>
    <row r="263" spans="1:14" x14ac:dyDescent="0.3">
      <c r="A263" s="3" t="s">
        <v>21</v>
      </c>
      <c r="B263" s="3" t="s">
        <v>22</v>
      </c>
      <c r="C263" s="3" t="s">
        <v>23</v>
      </c>
      <c r="D263" s="3">
        <v>21157</v>
      </c>
      <c r="E263" s="3">
        <v>3</v>
      </c>
      <c r="F263" s="3" t="s">
        <v>168</v>
      </c>
      <c r="G263" s="3" t="s">
        <v>194</v>
      </c>
      <c r="H263" s="3" t="s">
        <v>170</v>
      </c>
      <c r="I263" s="3" t="s">
        <v>195</v>
      </c>
      <c r="J263" s="3" t="s">
        <v>170</v>
      </c>
      <c r="K263" s="3" t="s">
        <v>196</v>
      </c>
      <c r="L263" s="3" t="s">
        <v>197</v>
      </c>
      <c r="M263" s="3" t="s">
        <v>174</v>
      </c>
      <c r="N263" s="3" t="s">
        <v>198</v>
      </c>
    </row>
    <row r="264" spans="1:14" x14ac:dyDescent="0.3">
      <c r="A264" s="3" t="s">
        <v>21</v>
      </c>
      <c r="B264" s="3" t="s">
        <v>22</v>
      </c>
      <c r="C264" s="3" t="s">
        <v>23</v>
      </c>
      <c r="D264" s="3">
        <v>21157</v>
      </c>
      <c r="E264" s="3">
        <v>3</v>
      </c>
      <c r="F264" s="3" t="s">
        <v>168</v>
      </c>
      <c r="G264" s="3" t="s">
        <v>189</v>
      </c>
      <c r="H264" s="3" t="s">
        <v>170</v>
      </c>
      <c r="I264" s="3" t="s">
        <v>190</v>
      </c>
      <c r="J264" s="3" t="s">
        <v>170</v>
      </c>
      <c r="K264" s="3" t="s">
        <v>191</v>
      </c>
      <c r="L264" s="3" t="s">
        <v>192</v>
      </c>
      <c r="M264" s="3" t="s">
        <v>174</v>
      </c>
      <c r="N264" s="3" t="s">
        <v>193</v>
      </c>
    </row>
    <row r="265" spans="1:14" x14ac:dyDescent="0.3">
      <c r="A265" s="3" t="s">
        <v>21</v>
      </c>
      <c r="B265" s="3" t="s">
        <v>22</v>
      </c>
      <c r="C265" s="3" t="s">
        <v>23</v>
      </c>
      <c r="D265" s="3">
        <v>21157</v>
      </c>
      <c r="E265" s="3">
        <v>3</v>
      </c>
      <c r="F265" s="3" t="s">
        <v>168</v>
      </c>
      <c r="G265" s="3" t="s">
        <v>184</v>
      </c>
      <c r="H265" s="3" t="s">
        <v>170</v>
      </c>
      <c r="I265" s="3" t="s">
        <v>185</v>
      </c>
      <c r="J265" s="3" t="s">
        <v>170</v>
      </c>
      <c r="K265" s="3" t="s">
        <v>186</v>
      </c>
      <c r="L265" s="3" t="s">
        <v>187</v>
      </c>
      <c r="M265" s="3" t="s">
        <v>174</v>
      </c>
      <c r="N265" s="3" t="s">
        <v>188</v>
      </c>
    </row>
    <row r="266" spans="1:14" x14ac:dyDescent="0.3">
      <c r="A266" s="3" t="s">
        <v>21</v>
      </c>
      <c r="B266" s="3" t="s">
        <v>22</v>
      </c>
      <c r="C266" s="3" t="s">
        <v>23</v>
      </c>
      <c r="D266" s="3">
        <v>21157</v>
      </c>
      <c r="E266" s="3">
        <v>0</v>
      </c>
      <c r="F266" s="3" t="s">
        <v>168</v>
      </c>
      <c r="G266" s="3" t="s">
        <v>691</v>
      </c>
      <c r="H266" s="3" t="s">
        <v>669</v>
      </c>
      <c r="I266" s="3" t="s">
        <v>692</v>
      </c>
      <c r="J266" s="3" t="s">
        <v>693</v>
      </c>
      <c r="K266" s="3" t="s">
        <v>694</v>
      </c>
      <c r="L266" s="3" t="s">
        <v>695</v>
      </c>
      <c r="M266" s="3" t="s">
        <v>174</v>
      </c>
      <c r="N266" s="3" t="s">
        <v>175</v>
      </c>
    </row>
    <row r="267" spans="1:14" x14ac:dyDescent="0.3">
      <c r="A267" s="3" t="s">
        <v>21</v>
      </c>
      <c r="B267" s="3" t="s">
        <v>22</v>
      </c>
      <c r="C267" s="3" t="s">
        <v>23</v>
      </c>
      <c r="D267" s="3">
        <v>21157</v>
      </c>
      <c r="E267" s="3">
        <v>0</v>
      </c>
      <c r="F267" s="3" t="s">
        <v>168</v>
      </c>
      <c r="G267" s="3" t="s">
        <v>689</v>
      </c>
      <c r="H267" s="3" t="s">
        <v>669</v>
      </c>
      <c r="I267" s="3" t="s">
        <v>670</v>
      </c>
      <c r="J267" s="3" t="s">
        <v>671</v>
      </c>
      <c r="K267" s="3" t="s">
        <v>672</v>
      </c>
      <c r="L267" s="3" t="s">
        <v>690</v>
      </c>
      <c r="M267" s="3" t="s">
        <v>174</v>
      </c>
      <c r="N267" s="3" t="s">
        <v>175</v>
      </c>
    </row>
    <row r="268" spans="1:14" x14ac:dyDescent="0.3">
      <c r="A268" s="3" t="s">
        <v>21</v>
      </c>
      <c r="B268" s="3" t="s">
        <v>22</v>
      </c>
      <c r="C268" s="3" t="s">
        <v>23</v>
      </c>
      <c r="D268" s="3">
        <v>21157</v>
      </c>
      <c r="E268" s="3">
        <v>3</v>
      </c>
      <c r="F268" s="3" t="s">
        <v>168</v>
      </c>
      <c r="G268" s="3" t="s">
        <v>180</v>
      </c>
      <c r="H268" s="3" t="s">
        <v>170</v>
      </c>
      <c r="I268" s="3" t="s">
        <v>181</v>
      </c>
      <c r="J268" s="3" t="s">
        <v>182</v>
      </c>
      <c r="K268" s="3" t="s">
        <v>172</v>
      </c>
      <c r="L268" s="3" t="s">
        <v>183</v>
      </c>
      <c r="M268" s="3" t="s">
        <v>174</v>
      </c>
      <c r="N268" s="3" t="s">
        <v>175</v>
      </c>
    </row>
    <row r="269" spans="1:14" x14ac:dyDescent="0.3">
      <c r="A269" s="3" t="s">
        <v>21</v>
      </c>
      <c r="B269" s="3" t="s">
        <v>22</v>
      </c>
      <c r="C269" s="3" t="s">
        <v>23</v>
      </c>
      <c r="D269" s="3">
        <v>21157</v>
      </c>
      <c r="E269" s="3">
        <v>3</v>
      </c>
      <c r="F269" s="3" t="s">
        <v>168</v>
      </c>
      <c r="G269" s="3" t="s">
        <v>176</v>
      </c>
      <c r="H269" s="3" t="s">
        <v>170</v>
      </c>
      <c r="I269" s="3" t="s">
        <v>177</v>
      </c>
      <c r="J269" s="3" t="s">
        <v>178</v>
      </c>
      <c r="K269" s="3" t="s">
        <v>172</v>
      </c>
      <c r="L269" s="3" t="s">
        <v>179</v>
      </c>
      <c r="M269" s="3" t="s">
        <v>174</v>
      </c>
      <c r="N269" s="3" t="s">
        <v>175</v>
      </c>
    </row>
    <row r="270" spans="1:14" x14ac:dyDescent="0.3">
      <c r="A270" s="3" t="s">
        <v>21</v>
      </c>
      <c r="B270" s="3" t="s">
        <v>22</v>
      </c>
      <c r="C270" s="3" t="s">
        <v>23</v>
      </c>
      <c r="D270" s="3">
        <v>21157</v>
      </c>
      <c r="E270" s="3">
        <v>3</v>
      </c>
      <c r="F270" s="3" t="s">
        <v>168</v>
      </c>
      <c r="G270" s="3" t="s">
        <v>169</v>
      </c>
      <c r="H270" s="3" t="s">
        <v>170</v>
      </c>
      <c r="I270" s="3" t="s">
        <v>171</v>
      </c>
      <c r="J270" s="3" t="s">
        <v>170</v>
      </c>
      <c r="K270" s="3" t="s">
        <v>172</v>
      </c>
      <c r="L270" s="3" t="s">
        <v>173</v>
      </c>
      <c r="M270" s="3" t="s">
        <v>174</v>
      </c>
      <c r="N270" s="3" t="s">
        <v>175</v>
      </c>
    </row>
    <row r="271" spans="1:14" x14ac:dyDescent="0.3">
      <c r="A271" s="3" t="s">
        <v>21</v>
      </c>
      <c r="B271" s="3" t="s">
        <v>22</v>
      </c>
      <c r="C271" s="3" t="s">
        <v>23</v>
      </c>
      <c r="D271" s="3">
        <v>21157</v>
      </c>
      <c r="E271" s="3">
        <v>0</v>
      </c>
      <c r="F271" s="3" t="s">
        <v>168</v>
      </c>
      <c r="G271" s="3" t="s">
        <v>685</v>
      </c>
      <c r="H271" s="3" t="s">
        <v>669</v>
      </c>
      <c r="I271" s="3" t="s">
        <v>686</v>
      </c>
      <c r="J271" s="3" t="s">
        <v>687</v>
      </c>
      <c r="K271" s="3" t="s">
        <v>679</v>
      </c>
      <c r="L271" s="3" t="s">
        <v>688</v>
      </c>
      <c r="M271" s="3" t="s">
        <v>174</v>
      </c>
      <c r="N271" s="3" t="s">
        <v>175</v>
      </c>
    </row>
    <row r="272" spans="1:14" x14ac:dyDescent="0.3">
      <c r="A272" s="3" t="s">
        <v>21</v>
      </c>
      <c r="B272" s="3" t="s">
        <v>22</v>
      </c>
      <c r="C272" s="3" t="s">
        <v>23</v>
      </c>
      <c r="D272" s="3">
        <v>21157</v>
      </c>
      <c r="E272" s="3">
        <v>0</v>
      </c>
      <c r="F272" s="3" t="s">
        <v>168</v>
      </c>
      <c r="G272" s="3" t="s">
        <v>681</v>
      </c>
      <c r="H272" s="3" t="s">
        <v>669</v>
      </c>
      <c r="I272" s="3" t="s">
        <v>682</v>
      </c>
      <c r="J272" s="3" t="s">
        <v>683</v>
      </c>
      <c r="K272" s="3" t="s">
        <v>679</v>
      </c>
      <c r="L272" s="3" t="s">
        <v>684</v>
      </c>
      <c r="M272" s="3" t="s">
        <v>174</v>
      </c>
      <c r="N272" s="3" t="s">
        <v>175</v>
      </c>
    </row>
    <row r="273" spans="1:14" x14ac:dyDescent="0.3">
      <c r="A273" s="3" t="s">
        <v>21</v>
      </c>
      <c r="B273" s="3" t="s">
        <v>22</v>
      </c>
      <c r="C273" s="3" t="s">
        <v>23</v>
      </c>
      <c r="D273" s="3">
        <v>21157</v>
      </c>
      <c r="E273" s="3">
        <v>0</v>
      </c>
      <c r="F273" s="3" t="s">
        <v>168</v>
      </c>
      <c r="G273" s="3" t="s">
        <v>676</v>
      </c>
      <c r="H273" s="3" t="s">
        <v>669</v>
      </c>
      <c r="I273" s="3" t="s">
        <v>677</v>
      </c>
      <c r="J273" s="3" t="s">
        <v>678</v>
      </c>
      <c r="K273" s="3" t="s">
        <v>679</v>
      </c>
      <c r="L273" s="3" t="s">
        <v>680</v>
      </c>
      <c r="M273" s="3" t="s">
        <v>174</v>
      </c>
      <c r="N273" s="3" t="s">
        <v>175</v>
      </c>
    </row>
    <row r="274" spans="1:14" x14ac:dyDescent="0.3">
      <c r="A274" s="3" t="s">
        <v>21</v>
      </c>
      <c r="B274" s="3" t="s">
        <v>22</v>
      </c>
      <c r="C274" s="3" t="s">
        <v>23</v>
      </c>
      <c r="D274" s="3">
        <v>21157</v>
      </c>
      <c r="E274" s="3">
        <v>0</v>
      </c>
      <c r="F274" s="3" t="s">
        <v>168</v>
      </c>
      <c r="G274" s="3" t="s">
        <v>674</v>
      </c>
      <c r="H274" s="3" t="s">
        <v>669</v>
      </c>
      <c r="I274" s="3" t="s">
        <v>670</v>
      </c>
      <c r="J274" s="3" t="s">
        <v>671</v>
      </c>
      <c r="K274" s="3" t="s">
        <v>672</v>
      </c>
      <c r="L274" s="3" t="s">
        <v>675</v>
      </c>
      <c r="M274" s="3" t="s">
        <v>174</v>
      </c>
      <c r="N274" s="3" t="s">
        <v>175</v>
      </c>
    </row>
    <row r="275" spans="1:14" x14ac:dyDescent="0.3">
      <c r="A275" s="3" t="s">
        <v>21</v>
      </c>
      <c r="B275" s="3" t="s">
        <v>22</v>
      </c>
      <c r="C275" s="3" t="s">
        <v>23</v>
      </c>
      <c r="D275" s="3">
        <v>21157</v>
      </c>
      <c r="E275" s="3">
        <v>0</v>
      </c>
      <c r="F275" s="3" t="s">
        <v>168</v>
      </c>
      <c r="G275" s="3" t="s">
        <v>668</v>
      </c>
      <c r="H275" s="3" t="s">
        <v>669</v>
      </c>
      <c r="I275" s="3" t="s">
        <v>670</v>
      </c>
      <c r="J275" s="3" t="s">
        <v>671</v>
      </c>
      <c r="K275" s="3" t="s">
        <v>672</v>
      </c>
      <c r="L275" s="3" t="s">
        <v>673</v>
      </c>
      <c r="M275" s="3" t="s">
        <v>174</v>
      </c>
      <c r="N275" s="3" t="s">
        <v>175</v>
      </c>
    </row>
    <row r="276" spans="1:14" x14ac:dyDescent="0.3">
      <c r="A276" s="3" t="s">
        <v>21</v>
      </c>
      <c r="B276" s="3" t="s">
        <v>22</v>
      </c>
      <c r="C276" s="3" t="s">
        <v>23</v>
      </c>
      <c r="D276" s="3">
        <v>21157</v>
      </c>
      <c r="E276" s="3">
        <v>3</v>
      </c>
      <c r="F276" s="3" t="s">
        <v>333</v>
      </c>
      <c r="G276" s="3" t="s">
        <v>345</v>
      </c>
      <c r="H276" s="3" t="s">
        <v>170</v>
      </c>
      <c r="I276" s="3" t="s">
        <v>346</v>
      </c>
      <c r="J276" s="3" t="s">
        <v>347</v>
      </c>
      <c r="K276" s="3" t="s">
        <v>348</v>
      </c>
      <c r="L276" s="3" t="s">
        <v>349</v>
      </c>
      <c r="M276" s="3" t="s">
        <v>174</v>
      </c>
      <c r="N276" s="3" t="s">
        <v>344</v>
      </c>
    </row>
    <row r="277" spans="1:14" x14ac:dyDescent="0.3">
      <c r="A277" s="3" t="s">
        <v>21</v>
      </c>
      <c r="B277" s="3" t="s">
        <v>22</v>
      </c>
      <c r="C277" s="3" t="s">
        <v>23</v>
      </c>
      <c r="D277" s="3">
        <v>21157</v>
      </c>
      <c r="E277" s="3">
        <v>3</v>
      </c>
      <c r="F277" s="3" t="s">
        <v>333</v>
      </c>
      <c r="G277" s="3" t="s">
        <v>340</v>
      </c>
      <c r="H277" s="3" t="s">
        <v>170</v>
      </c>
      <c r="I277" s="3" t="s">
        <v>341</v>
      </c>
      <c r="J277" s="3" t="s">
        <v>170</v>
      </c>
      <c r="K277" s="3" t="s">
        <v>342</v>
      </c>
      <c r="L277" s="3" t="s">
        <v>343</v>
      </c>
      <c r="M277" s="3" t="s">
        <v>174</v>
      </c>
      <c r="N277" s="3" t="s">
        <v>344</v>
      </c>
    </row>
    <row r="278" spans="1:14" x14ac:dyDescent="0.3">
      <c r="A278" s="3" t="s">
        <v>21</v>
      </c>
      <c r="B278" s="3" t="s">
        <v>22</v>
      </c>
      <c r="C278" s="3" t="s">
        <v>23</v>
      </c>
      <c r="D278" s="3">
        <v>21157</v>
      </c>
      <c r="E278" s="3">
        <v>0</v>
      </c>
      <c r="F278" s="3" t="s">
        <v>333</v>
      </c>
      <c r="G278" s="3" t="s">
        <v>879</v>
      </c>
      <c r="H278" s="3" t="s">
        <v>669</v>
      </c>
      <c r="I278" s="3" t="s">
        <v>880</v>
      </c>
      <c r="J278" s="3" t="s">
        <v>881</v>
      </c>
      <c r="K278" s="3" t="s">
        <v>882</v>
      </c>
      <c r="L278" s="3" t="s">
        <v>883</v>
      </c>
      <c r="M278" s="3" t="s">
        <v>174</v>
      </c>
      <c r="N278" s="3" t="s">
        <v>355</v>
      </c>
    </row>
    <row r="279" spans="1:14" x14ac:dyDescent="0.3">
      <c r="A279" s="3" t="s">
        <v>21</v>
      </c>
      <c r="B279" s="3" t="s">
        <v>22</v>
      </c>
      <c r="C279" s="3" t="s">
        <v>23</v>
      </c>
      <c r="D279" s="3">
        <v>21157</v>
      </c>
      <c r="E279" s="3">
        <v>0</v>
      </c>
      <c r="F279" s="3" t="s">
        <v>333</v>
      </c>
      <c r="G279" s="3" t="s">
        <v>875</v>
      </c>
      <c r="H279" s="3" t="s">
        <v>669</v>
      </c>
      <c r="I279" s="3" t="s">
        <v>876</v>
      </c>
      <c r="J279" s="3" t="s">
        <v>669</v>
      </c>
      <c r="K279" s="3" t="s">
        <v>877</v>
      </c>
      <c r="L279" s="3" t="s">
        <v>878</v>
      </c>
      <c r="M279" s="3" t="s">
        <v>174</v>
      </c>
      <c r="N279" s="3" t="s">
        <v>355</v>
      </c>
    </row>
    <row r="280" spans="1:14" x14ac:dyDescent="0.3">
      <c r="A280" s="3" t="s">
        <v>21</v>
      </c>
      <c r="B280" s="3" t="s">
        <v>22</v>
      </c>
      <c r="C280" s="3" t="s">
        <v>23</v>
      </c>
      <c r="D280" s="3">
        <v>21157</v>
      </c>
      <c r="E280" s="3">
        <v>0</v>
      </c>
      <c r="F280" s="3" t="s">
        <v>333</v>
      </c>
      <c r="G280" s="3" t="s">
        <v>871</v>
      </c>
      <c r="H280" s="3" t="s">
        <v>669</v>
      </c>
      <c r="I280" s="3" t="s">
        <v>779</v>
      </c>
      <c r="J280" s="3" t="s">
        <v>872</v>
      </c>
      <c r="K280" s="3" t="s">
        <v>873</v>
      </c>
      <c r="L280" s="3" t="s">
        <v>874</v>
      </c>
      <c r="M280" s="3" t="s">
        <v>174</v>
      </c>
      <c r="N280" s="3" t="s">
        <v>355</v>
      </c>
    </row>
    <row r="281" spans="1:14" x14ac:dyDescent="0.3">
      <c r="A281" s="3" t="s">
        <v>21</v>
      </c>
      <c r="B281" s="3" t="s">
        <v>22</v>
      </c>
      <c r="C281" s="3" t="s">
        <v>23</v>
      </c>
      <c r="D281" s="3">
        <v>21157</v>
      </c>
      <c r="E281" s="3">
        <v>0</v>
      </c>
      <c r="F281" s="3" t="s">
        <v>333</v>
      </c>
      <c r="G281" s="3" t="s">
        <v>867</v>
      </c>
      <c r="H281" s="3" t="s">
        <v>669</v>
      </c>
      <c r="I281" s="3" t="s">
        <v>779</v>
      </c>
      <c r="J281" s="3" t="s">
        <v>868</v>
      </c>
      <c r="K281" s="3" t="s">
        <v>869</v>
      </c>
      <c r="L281" s="3" t="s">
        <v>870</v>
      </c>
      <c r="M281" s="3" t="s">
        <v>174</v>
      </c>
      <c r="N281" s="3" t="s">
        <v>355</v>
      </c>
    </row>
    <row r="282" spans="1:14" x14ac:dyDescent="0.3">
      <c r="A282" s="3" t="s">
        <v>21</v>
      </c>
      <c r="B282" s="3" t="s">
        <v>22</v>
      </c>
      <c r="C282" s="3" t="s">
        <v>23</v>
      </c>
      <c r="D282" s="3">
        <v>21157</v>
      </c>
      <c r="E282" s="3">
        <v>2</v>
      </c>
      <c r="F282" s="3" t="s">
        <v>333</v>
      </c>
      <c r="G282" s="3" t="s">
        <v>604</v>
      </c>
      <c r="H282" s="3" t="s">
        <v>593</v>
      </c>
      <c r="I282" s="3" t="s">
        <v>605</v>
      </c>
      <c r="J282" s="3" t="s">
        <v>606</v>
      </c>
      <c r="K282" s="3" t="s">
        <v>607</v>
      </c>
      <c r="L282" s="3" t="s">
        <v>608</v>
      </c>
      <c r="M282" s="3" t="s">
        <v>174</v>
      </c>
      <c r="N282" s="3" t="s">
        <v>609</v>
      </c>
    </row>
    <row r="283" spans="1:14" x14ac:dyDescent="0.3">
      <c r="A283" s="3" t="s">
        <v>21</v>
      </c>
      <c r="B283" s="3" t="s">
        <v>22</v>
      </c>
      <c r="C283" s="3" t="s">
        <v>23</v>
      </c>
      <c r="D283" s="3">
        <v>21157</v>
      </c>
      <c r="E283" s="3">
        <v>2</v>
      </c>
      <c r="F283" s="3" t="s">
        <v>168</v>
      </c>
      <c r="G283" s="3" t="s">
        <v>592</v>
      </c>
      <c r="H283" s="3" t="s">
        <v>593</v>
      </c>
      <c r="I283" s="3" t="s">
        <v>594</v>
      </c>
      <c r="J283" s="3" t="s">
        <v>595</v>
      </c>
      <c r="K283" s="3" t="s">
        <v>596</v>
      </c>
      <c r="L283" s="3" t="s">
        <v>597</v>
      </c>
      <c r="M283" s="3" t="s">
        <v>174</v>
      </c>
      <c r="N283" s="3" t="s">
        <v>598</v>
      </c>
    </row>
    <row r="284" spans="1:14" x14ac:dyDescent="0.3">
      <c r="A284" s="3" t="s">
        <v>21</v>
      </c>
      <c r="B284" s="3" t="s">
        <v>22</v>
      </c>
      <c r="C284" s="3" t="s">
        <v>23</v>
      </c>
      <c r="D284" s="3">
        <v>21157</v>
      </c>
      <c r="E284" s="3">
        <v>0</v>
      </c>
      <c r="F284" s="3" t="s">
        <v>333</v>
      </c>
      <c r="G284" s="3" t="s">
        <v>862</v>
      </c>
      <c r="H284" s="3" t="s">
        <v>669</v>
      </c>
      <c r="I284" s="3" t="s">
        <v>863</v>
      </c>
      <c r="J284" s="3" t="s">
        <v>864</v>
      </c>
      <c r="K284" s="3" t="s">
        <v>865</v>
      </c>
      <c r="L284" s="3" t="s">
        <v>866</v>
      </c>
      <c r="M284" s="3" t="s">
        <v>174</v>
      </c>
      <c r="N284" s="3" t="s">
        <v>355</v>
      </c>
    </row>
    <row r="285" spans="1:14" x14ac:dyDescent="0.3">
      <c r="A285" s="3" t="s">
        <v>21</v>
      </c>
      <c r="B285" s="3" t="s">
        <v>22</v>
      </c>
      <c r="C285" s="3" t="s">
        <v>23</v>
      </c>
      <c r="D285" s="3">
        <v>21157</v>
      </c>
      <c r="E285" s="3">
        <v>0</v>
      </c>
      <c r="F285" s="3" t="s">
        <v>333</v>
      </c>
      <c r="G285" s="3" t="s">
        <v>857</v>
      </c>
      <c r="H285" s="3" t="s">
        <v>669</v>
      </c>
      <c r="I285" s="3" t="s">
        <v>858</v>
      </c>
      <c r="J285" s="3" t="s">
        <v>859</v>
      </c>
      <c r="K285" s="3" t="s">
        <v>860</v>
      </c>
      <c r="L285" s="3" t="s">
        <v>861</v>
      </c>
      <c r="M285" s="3" t="s">
        <v>174</v>
      </c>
      <c r="N285" s="3" t="s">
        <v>355</v>
      </c>
    </row>
    <row r="286" spans="1:14" x14ac:dyDescent="0.3">
      <c r="A286" s="3" t="s">
        <v>21</v>
      </c>
      <c r="B286" s="3" t="s">
        <v>22</v>
      </c>
      <c r="C286" s="3" t="s">
        <v>23</v>
      </c>
      <c r="D286" s="3">
        <v>21157</v>
      </c>
      <c r="E286" s="3">
        <v>0</v>
      </c>
      <c r="F286" s="3" t="s">
        <v>333</v>
      </c>
      <c r="G286" s="3" t="s">
        <v>852</v>
      </c>
      <c r="H286" s="3" t="s">
        <v>669</v>
      </c>
      <c r="I286" s="3" t="s">
        <v>853</v>
      </c>
      <c r="J286" s="3" t="s">
        <v>854</v>
      </c>
      <c r="K286" s="3" t="s">
        <v>855</v>
      </c>
      <c r="L286" s="3" t="s">
        <v>856</v>
      </c>
      <c r="M286" s="3" t="s">
        <v>174</v>
      </c>
      <c r="N286" s="3" t="s">
        <v>355</v>
      </c>
    </row>
    <row r="287" spans="1:14" x14ac:dyDescent="0.3">
      <c r="A287" s="3" t="s">
        <v>21</v>
      </c>
      <c r="B287" s="3" t="s">
        <v>22</v>
      </c>
      <c r="C287" s="3" t="s">
        <v>23</v>
      </c>
      <c r="D287" s="3">
        <v>21157</v>
      </c>
      <c r="E287" s="3">
        <v>0</v>
      </c>
      <c r="F287" s="3" t="s">
        <v>333</v>
      </c>
      <c r="G287" s="3" t="s">
        <v>847</v>
      </c>
      <c r="H287" s="3" t="s">
        <v>669</v>
      </c>
      <c r="I287" s="3" t="s">
        <v>848</v>
      </c>
      <c r="J287" s="3" t="s">
        <v>849</v>
      </c>
      <c r="K287" s="3" t="s">
        <v>850</v>
      </c>
      <c r="L287" s="3" t="s">
        <v>851</v>
      </c>
      <c r="M287" s="3" t="s">
        <v>174</v>
      </c>
      <c r="N287" s="3" t="s">
        <v>355</v>
      </c>
    </row>
    <row r="288" spans="1:14" x14ac:dyDescent="0.3">
      <c r="A288" s="3" t="s">
        <v>21</v>
      </c>
      <c r="B288" s="3" t="s">
        <v>22</v>
      </c>
      <c r="C288" s="3" t="s">
        <v>23</v>
      </c>
      <c r="D288" s="3">
        <v>21157</v>
      </c>
      <c r="E288" s="3">
        <v>0</v>
      </c>
      <c r="F288" s="3" t="s">
        <v>333</v>
      </c>
      <c r="G288" s="3" t="s">
        <v>842</v>
      </c>
      <c r="H288" s="3" t="s">
        <v>669</v>
      </c>
      <c r="I288" s="3" t="s">
        <v>843</v>
      </c>
      <c r="J288" s="3" t="s">
        <v>844</v>
      </c>
      <c r="K288" s="3" t="s">
        <v>845</v>
      </c>
      <c r="L288" s="3" t="s">
        <v>846</v>
      </c>
      <c r="M288" s="3" t="s">
        <v>174</v>
      </c>
      <c r="N288" s="3" t="s">
        <v>355</v>
      </c>
    </row>
    <row r="289" spans="1:14" x14ac:dyDescent="0.3">
      <c r="A289" s="3" t="s">
        <v>21</v>
      </c>
      <c r="B289" s="3" t="s">
        <v>22</v>
      </c>
      <c r="C289" s="3" t="s">
        <v>23</v>
      </c>
      <c r="D289" s="3">
        <v>21157</v>
      </c>
      <c r="E289" s="3">
        <v>0</v>
      </c>
      <c r="F289" s="3" t="s">
        <v>333</v>
      </c>
      <c r="G289" s="3" t="s">
        <v>837</v>
      </c>
      <c r="H289" s="3" t="s">
        <v>669</v>
      </c>
      <c r="I289" s="3" t="s">
        <v>838</v>
      </c>
      <c r="J289" s="3" t="s">
        <v>839</v>
      </c>
      <c r="K289" s="3" t="s">
        <v>840</v>
      </c>
      <c r="L289" s="3" t="s">
        <v>841</v>
      </c>
      <c r="M289" s="3" t="s">
        <v>174</v>
      </c>
      <c r="N289" s="3" t="s">
        <v>836</v>
      </c>
    </row>
    <row r="290" spans="1:14" x14ac:dyDescent="0.3">
      <c r="A290" s="3" t="s">
        <v>21</v>
      </c>
      <c r="B290" s="3" t="s">
        <v>22</v>
      </c>
      <c r="C290" s="3" t="s">
        <v>23</v>
      </c>
      <c r="D290" s="3">
        <v>21157</v>
      </c>
      <c r="E290" s="3">
        <v>0</v>
      </c>
      <c r="F290" s="3" t="s">
        <v>333</v>
      </c>
      <c r="G290" s="3" t="s">
        <v>831</v>
      </c>
      <c r="H290" s="3" t="s">
        <v>669</v>
      </c>
      <c r="I290" s="3" t="s">
        <v>832</v>
      </c>
      <c r="J290" s="3" t="s">
        <v>833</v>
      </c>
      <c r="K290" s="3" t="s">
        <v>834</v>
      </c>
      <c r="L290" s="3" t="s">
        <v>835</v>
      </c>
      <c r="M290" s="3" t="s">
        <v>174</v>
      </c>
      <c r="N290" s="3" t="s">
        <v>836</v>
      </c>
    </row>
    <row r="291" spans="1:14" x14ac:dyDescent="0.3">
      <c r="A291" s="3" t="s">
        <v>21</v>
      </c>
      <c r="B291" s="3" t="s">
        <v>22</v>
      </c>
      <c r="C291" s="3" t="s">
        <v>23</v>
      </c>
      <c r="D291" s="3">
        <v>21157</v>
      </c>
      <c r="E291" s="3">
        <v>0</v>
      </c>
      <c r="F291" s="3" t="s">
        <v>333</v>
      </c>
      <c r="G291" s="3" t="s">
        <v>826</v>
      </c>
      <c r="H291" s="3" t="s">
        <v>669</v>
      </c>
      <c r="I291" s="3" t="s">
        <v>827</v>
      </c>
      <c r="J291" s="3" t="s">
        <v>828</v>
      </c>
      <c r="K291" s="3" t="s">
        <v>829</v>
      </c>
      <c r="L291" s="3" t="s">
        <v>830</v>
      </c>
      <c r="M291" s="3" t="s">
        <v>174</v>
      </c>
      <c r="N291" s="3" t="s">
        <v>355</v>
      </c>
    </row>
    <row r="292" spans="1:14" x14ac:dyDescent="0.3">
      <c r="A292" s="3" t="s">
        <v>21</v>
      </c>
      <c r="B292" s="3" t="s">
        <v>22</v>
      </c>
      <c r="C292" s="3" t="s">
        <v>23</v>
      </c>
      <c r="D292" s="3">
        <v>21157</v>
      </c>
      <c r="E292" s="3">
        <v>0</v>
      </c>
      <c r="F292" s="3" t="s">
        <v>333</v>
      </c>
      <c r="G292" s="3" t="s">
        <v>821</v>
      </c>
      <c r="H292" s="3" t="s">
        <v>669</v>
      </c>
      <c r="I292" s="3" t="s">
        <v>822</v>
      </c>
      <c r="J292" s="3" t="s">
        <v>823</v>
      </c>
      <c r="K292" s="3" t="s">
        <v>824</v>
      </c>
      <c r="L292" s="3" t="s">
        <v>825</v>
      </c>
      <c r="M292" s="3" t="s">
        <v>174</v>
      </c>
      <c r="N292" s="3" t="s">
        <v>398</v>
      </c>
    </row>
    <row r="293" spans="1:14" x14ac:dyDescent="0.3">
      <c r="A293" s="3" t="s">
        <v>21</v>
      </c>
      <c r="B293" s="3" t="s">
        <v>22</v>
      </c>
      <c r="C293" s="3" t="s">
        <v>23</v>
      </c>
      <c r="D293" s="3">
        <v>21157</v>
      </c>
      <c r="E293" s="3">
        <v>0</v>
      </c>
      <c r="F293" s="3" t="s">
        <v>333</v>
      </c>
      <c r="G293" s="3" t="s">
        <v>817</v>
      </c>
      <c r="H293" s="3" t="s">
        <v>669</v>
      </c>
      <c r="I293" s="3" t="s">
        <v>818</v>
      </c>
      <c r="J293" s="3" t="s">
        <v>336</v>
      </c>
      <c r="K293" s="3" t="s">
        <v>819</v>
      </c>
      <c r="L293" s="3" t="s">
        <v>820</v>
      </c>
      <c r="M293" s="3" t="s">
        <v>174</v>
      </c>
      <c r="N293" s="3" t="s">
        <v>355</v>
      </c>
    </row>
    <row r="294" spans="1:14" x14ac:dyDescent="0.3">
      <c r="A294" s="3" t="s">
        <v>21</v>
      </c>
      <c r="B294" s="3" t="s">
        <v>22</v>
      </c>
      <c r="C294" s="3" t="s">
        <v>23</v>
      </c>
      <c r="D294" s="3">
        <v>21157</v>
      </c>
      <c r="E294" s="3">
        <v>0</v>
      </c>
      <c r="F294" s="3" t="s">
        <v>333</v>
      </c>
      <c r="G294" s="3" t="s">
        <v>813</v>
      </c>
      <c r="H294" s="3" t="s">
        <v>669</v>
      </c>
      <c r="I294" s="3" t="s">
        <v>814</v>
      </c>
      <c r="J294" s="3" t="s">
        <v>352</v>
      </c>
      <c r="K294" s="3" t="s">
        <v>815</v>
      </c>
      <c r="L294" s="3" t="s">
        <v>816</v>
      </c>
      <c r="M294" s="3" t="s">
        <v>174</v>
      </c>
      <c r="N294" s="3" t="s">
        <v>355</v>
      </c>
    </row>
    <row r="295" spans="1:14" x14ac:dyDescent="0.3">
      <c r="A295" s="3" t="s">
        <v>21</v>
      </c>
      <c r="B295" s="3" t="s">
        <v>22</v>
      </c>
      <c r="C295" s="3" t="s">
        <v>23</v>
      </c>
      <c r="D295" s="3">
        <v>21157</v>
      </c>
      <c r="E295" s="3">
        <v>0</v>
      </c>
      <c r="F295" s="3" t="s">
        <v>333</v>
      </c>
      <c r="G295" s="3" t="s">
        <v>808</v>
      </c>
      <c r="H295" s="3" t="s">
        <v>669</v>
      </c>
      <c r="I295" s="3" t="s">
        <v>809</v>
      </c>
      <c r="J295" s="3" t="s">
        <v>810</v>
      </c>
      <c r="K295" s="3" t="s">
        <v>811</v>
      </c>
      <c r="L295" s="3" t="s">
        <v>812</v>
      </c>
      <c r="M295" s="3" t="s">
        <v>174</v>
      </c>
      <c r="N295" s="3" t="s">
        <v>384</v>
      </c>
    </row>
    <row r="296" spans="1:14" x14ac:dyDescent="0.3">
      <c r="A296" s="3" t="s">
        <v>21</v>
      </c>
      <c r="B296" s="3" t="s">
        <v>22</v>
      </c>
      <c r="C296" s="3" t="s">
        <v>23</v>
      </c>
      <c r="D296" s="3">
        <v>21157</v>
      </c>
      <c r="E296" s="3">
        <v>0</v>
      </c>
      <c r="F296" s="3" t="s">
        <v>333</v>
      </c>
      <c r="G296" s="3" t="s">
        <v>803</v>
      </c>
      <c r="H296" s="3" t="s">
        <v>669</v>
      </c>
      <c r="I296" s="3" t="s">
        <v>779</v>
      </c>
      <c r="J296" s="3" t="s">
        <v>804</v>
      </c>
      <c r="K296" s="3" t="s">
        <v>805</v>
      </c>
      <c r="L296" s="3" t="s">
        <v>806</v>
      </c>
      <c r="M296" s="3" t="s">
        <v>174</v>
      </c>
      <c r="N296" s="3" t="s">
        <v>807</v>
      </c>
    </row>
    <row r="297" spans="1:14" x14ac:dyDescent="0.3">
      <c r="A297" s="3" t="s">
        <v>21</v>
      </c>
      <c r="B297" s="3" t="s">
        <v>22</v>
      </c>
      <c r="C297" s="3" t="s">
        <v>23</v>
      </c>
      <c r="D297" s="3">
        <v>21157</v>
      </c>
      <c r="E297" s="3">
        <v>0</v>
      </c>
      <c r="F297" s="3" t="s">
        <v>333</v>
      </c>
      <c r="G297" s="3" t="s">
        <v>798</v>
      </c>
      <c r="H297" s="3" t="s">
        <v>669</v>
      </c>
      <c r="I297" s="3" t="s">
        <v>799</v>
      </c>
      <c r="J297" s="3" t="s">
        <v>800</v>
      </c>
      <c r="K297" s="3" t="s">
        <v>801</v>
      </c>
      <c r="L297" s="3" t="s">
        <v>802</v>
      </c>
      <c r="M297" s="3" t="s">
        <v>174</v>
      </c>
      <c r="N297" s="3" t="s">
        <v>788</v>
      </c>
    </row>
    <row r="298" spans="1:14" x14ac:dyDescent="0.3">
      <c r="A298" s="3" t="s">
        <v>21</v>
      </c>
      <c r="B298" s="3" t="s">
        <v>22</v>
      </c>
      <c r="C298" s="3" t="s">
        <v>23</v>
      </c>
      <c r="D298" s="3">
        <v>21157</v>
      </c>
      <c r="E298" s="3">
        <v>0</v>
      </c>
      <c r="F298" s="3" t="s">
        <v>333</v>
      </c>
      <c r="G298" s="3" t="s">
        <v>793</v>
      </c>
      <c r="H298" s="3" t="s">
        <v>669</v>
      </c>
      <c r="I298" s="3" t="s">
        <v>794</v>
      </c>
      <c r="J298" s="3" t="s">
        <v>795</v>
      </c>
      <c r="K298" s="3" t="s">
        <v>796</v>
      </c>
      <c r="L298" s="3" t="s">
        <v>797</v>
      </c>
      <c r="M298" s="3" t="s">
        <v>174</v>
      </c>
      <c r="N298" s="3" t="s">
        <v>788</v>
      </c>
    </row>
    <row r="299" spans="1:14" x14ac:dyDescent="0.3">
      <c r="A299" s="3" t="s">
        <v>21</v>
      </c>
      <c r="B299" s="3" t="s">
        <v>22</v>
      </c>
      <c r="C299" s="3" t="s">
        <v>23</v>
      </c>
      <c r="D299" s="3">
        <v>21157</v>
      </c>
      <c r="E299" s="3">
        <v>0</v>
      </c>
      <c r="F299" s="3" t="s">
        <v>333</v>
      </c>
      <c r="G299" s="3" t="s">
        <v>789</v>
      </c>
      <c r="H299" s="3" t="s">
        <v>669</v>
      </c>
      <c r="I299" s="3" t="s">
        <v>779</v>
      </c>
      <c r="J299" s="3" t="s">
        <v>790</v>
      </c>
      <c r="K299" s="3" t="s">
        <v>791</v>
      </c>
      <c r="L299" s="3" t="s">
        <v>792</v>
      </c>
      <c r="M299" s="3" t="s">
        <v>174</v>
      </c>
      <c r="N299" s="3" t="s">
        <v>788</v>
      </c>
    </row>
    <row r="300" spans="1:14" x14ac:dyDescent="0.3">
      <c r="A300" s="3" t="s">
        <v>21</v>
      </c>
      <c r="B300" s="3" t="s">
        <v>22</v>
      </c>
      <c r="C300" s="3" t="s">
        <v>23</v>
      </c>
      <c r="D300" s="3">
        <v>21157</v>
      </c>
      <c r="E300" s="3">
        <v>0</v>
      </c>
      <c r="F300" s="3" t="s">
        <v>333</v>
      </c>
      <c r="G300" s="3" t="s">
        <v>784</v>
      </c>
      <c r="H300" s="3" t="s">
        <v>669</v>
      </c>
      <c r="I300" s="3" t="s">
        <v>779</v>
      </c>
      <c r="J300" s="3" t="s">
        <v>785</v>
      </c>
      <c r="K300" s="3" t="s">
        <v>786</v>
      </c>
      <c r="L300" s="3" t="s">
        <v>787</v>
      </c>
      <c r="M300" s="3" t="s">
        <v>174</v>
      </c>
      <c r="N300" s="3" t="s">
        <v>788</v>
      </c>
    </row>
    <row r="301" spans="1:14" x14ac:dyDescent="0.3">
      <c r="A301" s="3" t="s">
        <v>21</v>
      </c>
      <c r="B301" s="3" t="s">
        <v>22</v>
      </c>
      <c r="C301" s="3" t="s">
        <v>23</v>
      </c>
      <c r="D301" s="3">
        <v>21157</v>
      </c>
      <c r="E301" s="3">
        <v>3</v>
      </c>
      <c r="F301" s="3" t="s">
        <v>333</v>
      </c>
      <c r="G301" s="3" t="s">
        <v>334</v>
      </c>
      <c r="H301" s="3" t="s">
        <v>170</v>
      </c>
      <c r="I301" s="3" t="s">
        <v>335</v>
      </c>
      <c r="J301" s="3" t="s">
        <v>336</v>
      </c>
      <c r="K301" s="3" t="s">
        <v>337</v>
      </c>
      <c r="L301" s="3" t="s">
        <v>338</v>
      </c>
      <c r="M301" s="3" t="s">
        <v>174</v>
      </c>
      <c r="N301" s="3" t="s">
        <v>339</v>
      </c>
    </row>
    <row r="302" spans="1:14" x14ac:dyDescent="0.3">
      <c r="A302" s="3" t="s">
        <v>21</v>
      </c>
      <c r="B302" s="3" t="s">
        <v>22</v>
      </c>
      <c r="C302" s="3" t="s">
        <v>23</v>
      </c>
      <c r="D302" s="3">
        <v>21157</v>
      </c>
      <c r="E302" s="3">
        <v>0</v>
      </c>
      <c r="F302" s="3" t="s">
        <v>333</v>
      </c>
      <c r="G302" s="3" t="s">
        <v>778</v>
      </c>
      <c r="H302" s="3" t="s">
        <v>669</v>
      </c>
      <c r="I302" s="3" t="s">
        <v>779</v>
      </c>
      <c r="J302" s="3" t="s">
        <v>780</v>
      </c>
      <c r="K302" s="3" t="s">
        <v>781</v>
      </c>
      <c r="L302" s="3" t="s">
        <v>782</v>
      </c>
      <c r="M302" s="3" t="s">
        <v>174</v>
      </c>
      <c r="N302" s="3" t="s">
        <v>783</v>
      </c>
    </row>
    <row r="303" spans="1:14" x14ac:dyDescent="0.3">
      <c r="A303" s="3" t="s">
        <v>21</v>
      </c>
      <c r="B303" s="3" t="s">
        <v>22</v>
      </c>
      <c r="C303" s="3" t="s">
        <v>23</v>
      </c>
      <c r="D303" s="3">
        <v>21157</v>
      </c>
      <c r="E303" s="3">
        <v>0</v>
      </c>
      <c r="F303" s="3" t="s">
        <v>333</v>
      </c>
      <c r="G303" s="3" t="s">
        <v>1508</v>
      </c>
      <c r="H303" s="3" t="s">
        <v>669</v>
      </c>
      <c r="I303" s="3"/>
      <c r="J303" s="3" t="s">
        <v>669</v>
      </c>
      <c r="K303" s="3"/>
      <c r="L303" s="3"/>
      <c r="M303" s="3" t="s">
        <v>174</v>
      </c>
      <c r="N303" s="3"/>
    </row>
    <row r="304" spans="1:14" x14ac:dyDescent="0.3">
      <c r="A304" s="3" t="s">
        <v>21</v>
      </c>
      <c r="B304" s="3" t="s">
        <v>22</v>
      </c>
      <c r="C304" s="3" t="s">
        <v>23</v>
      </c>
      <c r="D304" s="3">
        <v>21157</v>
      </c>
      <c r="E304" s="3">
        <v>0</v>
      </c>
      <c r="F304" s="3" t="s">
        <v>168</v>
      </c>
      <c r="G304" s="3" t="s">
        <v>777</v>
      </c>
      <c r="H304" s="3" t="s">
        <v>669</v>
      </c>
      <c r="I304" s="3"/>
      <c r="J304" s="3" t="s">
        <v>669</v>
      </c>
      <c r="K304" s="3"/>
      <c r="L304" s="3"/>
      <c r="M304" s="3" t="s">
        <v>174</v>
      </c>
      <c r="N304" s="3"/>
    </row>
  </sheetData>
  <conditionalFormatting sqref="H1:H1048576">
    <cfRule type="containsText" dxfId="0" priority="1" operator="containsText" text="FAILED">
      <formula>NOT(ISERROR(SEARCH("FAILED",H1)))</formula>
    </cfRule>
  </conditionalFormatting>
  <hyperlinks>
    <hyperlink ref="M270" r:id="rId1" xr:uid="{00000000-0004-0000-0900-000001000000}"/>
    <hyperlink ref="M269" r:id="rId2" xr:uid="{00000000-0004-0000-0900-000002000000}"/>
    <hyperlink ref="M268" r:id="rId3" xr:uid="{00000000-0004-0000-0900-000003000000}"/>
    <hyperlink ref="M265" r:id="rId4" xr:uid="{00000000-0004-0000-0900-000004000000}"/>
    <hyperlink ref="M264" r:id="rId5" xr:uid="{00000000-0004-0000-0900-000005000000}"/>
    <hyperlink ref="M263" r:id="rId6" xr:uid="{00000000-0004-0000-0900-000006000000}"/>
    <hyperlink ref="M262" r:id="rId7" xr:uid="{00000000-0004-0000-0900-000007000000}"/>
    <hyperlink ref="M261" r:id="rId8" xr:uid="{00000000-0004-0000-0900-000008000000}"/>
    <hyperlink ref="M260" r:id="rId9" xr:uid="{00000000-0004-0000-0900-000009000000}"/>
    <hyperlink ref="M259" r:id="rId10" xr:uid="{00000000-0004-0000-0900-00000A000000}"/>
    <hyperlink ref="M258" r:id="rId11" xr:uid="{00000000-0004-0000-0900-00000B000000}"/>
    <hyperlink ref="M257" r:id="rId12" xr:uid="{00000000-0004-0000-0900-00000C000000}"/>
    <hyperlink ref="M256" r:id="rId13" xr:uid="{00000000-0004-0000-0900-00000D000000}"/>
    <hyperlink ref="M255" r:id="rId14" xr:uid="{00000000-0004-0000-0900-00000E000000}"/>
    <hyperlink ref="M254" r:id="rId15" xr:uid="{00000000-0004-0000-0900-00000F000000}"/>
    <hyperlink ref="M253" r:id="rId16" xr:uid="{00000000-0004-0000-0900-000010000000}"/>
    <hyperlink ref="M252" r:id="rId17" xr:uid="{00000000-0004-0000-0900-000011000000}"/>
    <hyperlink ref="M251" r:id="rId18" xr:uid="{00000000-0004-0000-0900-000012000000}"/>
    <hyperlink ref="M250" r:id="rId19" xr:uid="{00000000-0004-0000-0900-000013000000}"/>
    <hyperlink ref="M249" r:id="rId20" xr:uid="{00000000-0004-0000-0900-000014000000}"/>
    <hyperlink ref="M248" r:id="rId21" xr:uid="{00000000-0004-0000-0900-000015000000}"/>
    <hyperlink ref="M247" r:id="rId22" xr:uid="{00000000-0004-0000-0900-000016000000}"/>
    <hyperlink ref="M246" r:id="rId23" xr:uid="{00000000-0004-0000-0900-000017000000}"/>
    <hyperlink ref="M245" r:id="rId24" xr:uid="{00000000-0004-0000-0900-000018000000}"/>
    <hyperlink ref="M244" r:id="rId25" xr:uid="{00000000-0004-0000-0900-000019000000}"/>
    <hyperlink ref="M243" r:id="rId26" xr:uid="{00000000-0004-0000-0900-00001A000000}"/>
    <hyperlink ref="M242" r:id="rId27" xr:uid="{00000000-0004-0000-0900-00001B000000}"/>
    <hyperlink ref="M241" r:id="rId28" xr:uid="{00000000-0004-0000-0900-00001C000000}"/>
    <hyperlink ref="M239" r:id="rId29" xr:uid="{00000000-0004-0000-0900-00001D000000}"/>
    <hyperlink ref="M238" r:id="rId30" xr:uid="{00000000-0004-0000-0900-00001E000000}"/>
    <hyperlink ref="M191" r:id="rId31" xr:uid="{00000000-0004-0000-0900-00001F000000}"/>
    <hyperlink ref="M178" r:id="rId32" xr:uid="{00000000-0004-0000-0900-000020000000}"/>
    <hyperlink ref="M32" r:id="rId33" xr:uid="{00000000-0004-0000-0900-000021000000}"/>
    <hyperlink ref="M28" r:id="rId34" xr:uid="{00000000-0004-0000-0900-000022000000}"/>
    <hyperlink ref="M24" r:id="rId35" xr:uid="{00000000-0004-0000-0900-000023000000}"/>
    <hyperlink ref="M301" r:id="rId36" xr:uid="{00000000-0004-0000-0900-000024000000}"/>
    <hyperlink ref="M277" r:id="rId37" xr:uid="{00000000-0004-0000-0900-000025000000}"/>
    <hyperlink ref="M276" r:id="rId38" xr:uid="{00000000-0004-0000-0900-000026000000}"/>
    <hyperlink ref="M236" r:id="rId39" xr:uid="{00000000-0004-0000-0900-000027000000}"/>
    <hyperlink ref="M223" r:id="rId40" xr:uid="{00000000-0004-0000-0900-000028000000}"/>
    <hyperlink ref="M221" r:id="rId41" xr:uid="{00000000-0004-0000-0900-000029000000}"/>
    <hyperlink ref="M215" r:id="rId42" xr:uid="{00000000-0004-0000-0900-00002A000000}"/>
    <hyperlink ref="M214" r:id="rId43" xr:uid="{00000000-0004-0000-0900-00002B000000}"/>
    <hyperlink ref="M213" r:id="rId44" xr:uid="{00000000-0004-0000-0900-00002C000000}"/>
    <hyperlink ref="M210" r:id="rId45" xr:uid="{00000000-0004-0000-0900-00002D000000}"/>
    <hyperlink ref="M209" r:id="rId46" xr:uid="{00000000-0004-0000-0900-00002E000000}"/>
    <hyperlink ref="M208" r:id="rId47" xr:uid="{00000000-0004-0000-0900-00002F000000}"/>
    <hyperlink ref="M206" r:id="rId48" xr:uid="{00000000-0004-0000-0900-000030000000}"/>
    <hyperlink ref="M205" r:id="rId49" xr:uid="{00000000-0004-0000-0900-000031000000}"/>
    <hyperlink ref="M204" r:id="rId50" xr:uid="{00000000-0004-0000-0900-000032000000}"/>
    <hyperlink ref="M203" r:id="rId51" xr:uid="{00000000-0004-0000-0900-000033000000}"/>
    <hyperlink ref="M202" r:id="rId52" xr:uid="{00000000-0004-0000-0900-000034000000}"/>
    <hyperlink ref="M201" r:id="rId53" xr:uid="{00000000-0004-0000-0900-000035000000}"/>
    <hyperlink ref="M200" r:id="rId54" xr:uid="{00000000-0004-0000-0900-000036000000}"/>
    <hyperlink ref="M199" r:id="rId55" xr:uid="{00000000-0004-0000-0900-000037000000}"/>
    <hyperlink ref="M198" r:id="rId56" xr:uid="{00000000-0004-0000-0900-000038000000}"/>
    <hyperlink ref="M197" r:id="rId57" xr:uid="{00000000-0004-0000-0900-000039000000}"/>
    <hyperlink ref="M196" r:id="rId58" xr:uid="{00000000-0004-0000-0900-00003A000000}"/>
    <hyperlink ref="M195" r:id="rId59" xr:uid="{00000000-0004-0000-0900-00003B000000}"/>
    <hyperlink ref="M194" r:id="rId60" xr:uid="{00000000-0004-0000-0900-00003C000000}"/>
    <hyperlink ref="M193" r:id="rId61" xr:uid="{00000000-0004-0000-0900-00003D000000}"/>
    <hyperlink ref="M192" r:id="rId62" xr:uid="{00000000-0004-0000-0900-00003E000000}"/>
    <hyperlink ref="M190" r:id="rId63" xr:uid="{00000000-0004-0000-0900-00003F000000}"/>
    <hyperlink ref="M189" r:id="rId64" xr:uid="{00000000-0004-0000-0900-000040000000}"/>
    <hyperlink ref="M188" r:id="rId65" xr:uid="{00000000-0004-0000-0900-000041000000}"/>
    <hyperlink ref="M180" r:id="rId66" xr:uid="{00000000-0004-0000-0900-000042000000}"/>
    <hyperlink ref="M176" r:id="rId67" xr:uid="{00000000-0004-0000-0900-000043000000}"/>
    <hyperlink ref="M174" r:id="rId68" xr:uid="{00000000-0004-0000-0900-000044000000}"/>
    <hyperlink ref="M173" r:id="rId69" xr:uid="{00000000-0004-0000-0900-000045000000}"/>
    <hyperlink ref="M169" r:id="rId70" xr:uid="{00000000-0004-0000-0900-000046000000}"/>
    <hyperlink ref="M167" r:id="rId71" xr:uid="{00000000-0004-0000-0900-000047000000}"/>
    <hyperlink ref="M166" r:id="rId72" xr:uid="{00000000-0004-0000-0900-000048000000}"/>
    <hyperlink ref="M165" r:id="rId73" xr:uid="{00000000-0004-0000-0900-000049000000}"/>
    <hyperlink ref="M164" r:id="rId74" xr:uid="{00000000-0004-0000-0900-00004A000000}"/>
    <hyperlink ref="M162" r:id="rId75" xr:uid="{00000000-0004-0000-0900-00004B000000}"/>
    <hyperlink ref="M161" r:id="rId76" xr:uid="{00000000-0004-0000-0900-00004C000000}"/>
    <hyperlink ref="M158" r:id="rId77" xr:uid="{00000000-0004-0000-0900-00004D000000}"/>
    <hyperlink ref="M123" r:id="rId78" xr:uid="{00000000-0004-0000-0900-00004E000000}"/>
    <hyperlink ref="M116" r:id="rId79" xr:uid="{00000000-0004-0000-0900-00004F000000}"/>
    <hyperlink ref="M115" r:id="rId80" xr:uid="{00000000-0004-0000-0900-000050000000}"/>
    <hyperlink ref="M114" r:id="rId81" xr:uid="{00000000-0004-0000-0900-000051000000}"/>
    <hyperlink ref="M113" r:id="rId82" xr:uid="{00000000-0004-0000-0900-000052000000}"/>
    <hyperlink ref="M112" r:id="rId83" xr:uid="{00000000-0004-0000-0900-000053000000}"/>
    <hyperlink ref="M110" r:id="rId84" xr:uid="{00000000-0004-0000-0900-000054000000}"/>
    <hyperlink ref="M109" r:id="rId85" xr:uid="{00000000-0004-0000-0900-000055000000}"/>
    <hyperlink ref="M73" r:id="rId86" xr:uid="{00000000-0004-0000-0900-000056000000}"/>
    <hyperlink ref="M58" r:id="rId87" xr:uid="{00000000-0004-0000-0900-000057000000}"/>
    <hyperlink ref="M57" r:id="rId88" xr:uid="{00000000-0004-0000-0900-000058000000}"/>
    <hyperlink ref="M56" r:id="rId89" xr:uid="{00000000-0004-0000-0900-000059000000}"/>
    <hyperlink ref="M44" r:id="rId90" xr:uid="{00000000-0004-0000-0900-00005A000000}"/>
    <hyperlink ref="M41" r:id="rId91" xr:uid="{00000000-0004-0000-0900-00005B000000}"/>
    <hyperlink ref="M40" r:id="rId92" xr:uid="{00000000-0004-0000-0900-00005C000000}"/>
    <hyperlink ref="M283" r:id="rId93" xr:uid="{00000000-0004-0000-0900-00005D000000}"/>
    <hyperlink ref="M182" r:id="rId94" xr:uid="{00000000-0004-0000-0900-00005E000000}"/>
    <hyperlink ref="M282" r:id="rId95" xr:uid="{00000000-0004-0000-0900-00005F000000}"/>
    <hyperlink ref="M235" r:id="rId96" xr:uid="{00000000-0004-0000-0900-000060000000}"/>
    <hyperlink ref="M185" r:id="rId97" xr:uid="{00000000-0004-0000-0900-000061000000}"/>
    <hyperlink ref="M183" r:id="rId98" xr:uid="{00000000-0004-0000-0900-000062000000}"/>
    <hyperlink ref="M181" r:id="rId99" xr:uid="{00000000-0004-0000-0900-000063000000}"/>
    <hyperlink ref="M125" r:id="rId100" xr:uid="{00000000-0004-0000-0900-000064000000}"/>
    <hyperlink ref="M124" r:id="rId101" xr:uid="{00000000-0004-0000-0900-000065000000}"/>
    <hyperlink ref="M121" r:id="rId102" xr:uid="{00000000-0004-0000-0900-000066000000}"/>
    <hyperlink ref="M102" r:id="rId103" xr:uid="{00000000-0004-0000-0900-000067000000}"/>
    <hyperlink ref="M89" r:id="rId104" xr:uid="{00000000-0004-0000-0900-000068000000}"/>
    <hyperlink ref="M74" r:id="rId105" xr:uid="{00000000-0004-0000-0900-000069000000}"/>
    <hyperlink ref="M39" r:id="rId106" xr:uid="{00000000-0004-0000-0900-00006A000000}"/>
    <hyperlink ref="M36" r:id="rId107" xr:uid="{00000000-0004-0000-0900-00006B000000}"/>
    <hyperlink ref="M275" r:id="rId108" xr:uid="{00000000-0004-0000-0900-00006C000000}"/>
    <hyperlink ref="M274" r:id="rId109" xr:uid="{00000000-0004-0000-0900-00006D000000}"/>
    <hyperlink ref="M273" r:id="rId110" xr:uid="{00000000-0004-0000-0900-00006E000000}"/>
    <hyperlink ref="M272" r:id="rId111" xr:uid="{00000000-0004-0000-0900-00006F000000}"/>
    <hyperlink ref="M271" r:id="rId112" xr:uid="{00000000-0004-0000-0900-000070000000}"/>
    <hyperlink ref="M267" r:id="rId113" xr:uid="{00000000-0004-0000-0900-000071000000}"/>
    <hyperlink ref="M266" r:id="rId114" xr:uid="{00000000-0004-0000-0900-000072000000}"/>
    <hyperlink ref="M240" r:id="rId115" xr:uid="{00000000-0004-0000-0900-000073000000}"/>
    <hyperlink ref="M237" r:id="rId116" xr:uid="{00000000-0004-0000-0900-000074000000}"/>
    <hyperlink ref="M216" r:id="rId117" xr:uid="{00000000-0004-0000-0900-000075000000}"/>
    <hyperlink ref="M177" r:id="rId118" xr:uid="{00000000-0004-0000-0900-000076000000}"/>
    <hyperlink ref="M108" r:id="rId119" xr:uid="{00000000-0004-0000-0900-000077000000}"/>
    <hyperlink ref="M107" r:id="rId120" xr:uid="{00000000-0004-0000-0900-000078000000}"/>
    <hyperlink ref="M106" r:id="rId121" xr:uid="{00000000-0004-0000-0900-000079000000}"/>
    <hyperlink ref="M105" r:id="rId122" xr:uid="{00000000-0004-0000-0900-00007A000000}"/>
    <hyperlink ref="M98" r:id="rId123" xr:uid="{00000000-0004-0000-0900-00007B000000}"/>
    <hyperlink ref="M87" r:id="rId124" xr:uid="{00000000-0004-0000-0900-00007C000000}"/>
    <hyperlink ref="M62" r:id="rId125" xr:uid="{00000000-0004-0000-0900-00007D000000}"/>
    <hyperlink ref="M52" r:id="rId126" xr:uid="{00000000-0004-0000-0900-00007E000000}"/>
    <hyperlink ref="M38" r:id="rId127" xr:uid="{00000000-0004-0000-0900-00007F000000}"/>
    <hyperlink ref="M21" r:id="rId128" xr:uid="{00000000-0004-0000-0900-000080000000}"/>
    <hyperlink ref="M18" r:id="rId129" xr:uid="{00000000-0004-0000-0900-000081000000}"/>
    <hyperlink ref="M8" r:id="rId130" xr:uid="{00000000-0004-0000-0900-000082000000}"/>
    <hyperlink ref="M7" r:id="rId131" xr:uid="{00000000-0004-0000-0900-000083000000}"/>
    <hyperlink ref="M304" r:id="rId132" xr:uid="{00000000-0004-0000-0900-000084000000}"/>
    <hyperlink ref="M302" r:id="rId133" xr:uid="{00000000-0004-0000-0900-000085000000}"/>
    <hyperlink ref="M300" r:id="rId134" xr:uid="{00000000-0004-0000-0900-000086000000}"/>
    <hyperlink ref="M299" r:id="rId135" xr:uid="{00000000-0004-0000-0900-000087000000}"/>
    <hyperlink ref="M298" r:id="rId136" xr:uid="{00000000-0004-0000-0900-000088000000}"/>
    <hyperlink ref="M297" r:id="rId137" xr:uid="{00000000-0004-0000-0900-000089000000}"/>
    <hyperlink ref="M296" r:id="rId138" xr:uid="{00000000-0004-0000-0900-00008A000000}"/>
    <hyperlink ref="M295" r:id="rId139" xr:uid="{00000000-0004-0000-0900-00008B000000}"/>
    <hyperlink ref="M294" r:id="rId140" xr:uid="{00000000-0004-0000-0900-00008C000000}"/>
    <hyperlink ref="M293" r:id="rId141" xr:uid="{00000000-0004-0000-0900-00008D000000}"/>
    <hyperlink ref="M292" r:id="rId142" xr:uid="{00000000-0004-0000-0900-00008E000000}"/>
    <hyperlink ref="M291" r:id="rId143" xr:uid="{00000000-0004-0000-0900-00008F000000}"/>
    <hyperlink ref="M290" r:id="rId144" xr:uid="{00000000-0004-0000-0900-000090000000}"/>
    <hyperlink ref="M289" r:id="rId145" xr:uid="{00000000-0004-0000-0900-000091000000}"/>
    <hyperlink ref="M288" r:id="rId146" xr:uid="{00000000-0004-0000-0900-000092000000}"/>
    <hyperlink ref="M287" r:id="rId147" xr:uid="{00000000-0004-0000-0900-000093000000}"/>
    <hyperlink ref="M286" r:id="rId148" xr:uid="{00000000-0004-0000-0900-000094000000}"/>
    <hyperlink ref="M285" r:id="rId149" xr:uid="{00000000-0004-0000-0900-000095000000}"/>
    <hyperlink ref="M284" r:id="rId150" xr:uid="{00000000-0004-0000-0900-000096000000}"/>
    <hyperlink ref="M281" r:id="rId151" xr:uid="{00000000-0004-0000-0900-000097000000}"/>
    <hyperlink ref="M280" r:id="rId152" xr:uid="{00000000-0004-0000-0900-000098000000}"/>
    <hyperlink ref="M279" r:id="rId153" xr:uid="{00000000-0004-0000-0900-000099000000}"/>
    <hyperlink ref="M278" r:id="rId154" xr:uid="{00000000-0004-0000-0900-00009A000000}"/>
    <hyperlink ref="M234" r:id="rId155" xr:uid="{00000000-0004-0000-0900-00009B000000}"/>
    <hyperlink ref="M233" r:id="rId156" xr:uid="{00000000-0004-0000-0900-00009C000000}"/>
    <hyperlink ref="M232" r:id="rId157" xr:uid="{00000000-0004-0000-0900-00009D000000}"/>
    <hyperlink ref="M231" r:id="rId158" xr:uid="{00000000-0004-0000-0900-00009E000000}"/>
    <hyperlink ref="M230" r:id="rId159" xr:uid="{00000000-0004-0000-0900-00009F000000}"/>
    <hyperlink ref="M229" r:id="rId160" xr:uid="{00000000-0004-0000-0900-0000A0000000}"/>
    <hyperlink ref="M228" r:id="rId161" xr:uid="{00000000-0004-0000-0900-0000A1000000}"/>
    <hyperlink ref="M227" r:id="rId162" xr:uid="{00000000-0004-0000-0900-0000A2000000}"/>
    <hyperlink ref="M226" r:id="rId163" xr:uid="{00000000-0004-0000-0900-0000A3000000}"/>
    <hyperlink ref="M225" r:id="rId164" xr:uid="{00000000-0004-0000-0900-0000A4000000}"/>
    <hyperlink ref="M224" r:id="rId165" xr:uid="{00000000-0004-0000-0900-0000A5000000}"/>
    <hyperlink ref="M222" r:id="rId166" xr:uid="{00000000-0004-0000-0900-0000A6000000}"/>
    <hyperlink ref="M220" r:id="rId167" xr:uid="{00000000-0004-0000-0900-0000A7000000}"/>
    <hyperlink ref="M219" r:id="rId168" xr:uid="{00000000-0004-0000-0900-0000A8000000}"/>
    <hyperlink ref="M218" r:id="rId169" xr:uid="{00000000-0004-0000-0900-0000A9000000}"/>
    <hyperlink ref="M217" r:id="rId170" xr:uid="{00000000-0004-0000-0900-0000AA000000}"/>
    <hyperlink ref="M212" r:id="rId171" xr:uid="{00000000-0004-0000-0900-0000AB000000}"/>
    <hyperlink ref="M211" r:id="rId172" xr:uid="{00000000-0004-0000-0900-0000AC000000}"/>
    <hyperlink ref="M207" r:id="rId173" xr:uid="{00000000-0004-0000-0900-0000AD000000}"/>
    <hyperlink ref="M187" r:id="rId174" xr:uid="{00000000-0004-0000-0900-0000AE000000}"/>
    <hyperlink ref="M186" r:id="rId175" xr:uid="{00000000-0004-0000-0900-0000AF000000}"/>
    <hyperlink ref="M184" r:id="rId176" xr:uid="{00000000-0004-0000-0900-0000B0000000}"/>
    <hyperlink ref="M179" r:id="rId177" xr:uid="{00000000-0004-0000-0900-0000B1000000}"/>
    <hyperlink ref="M175" r:id="rId178" xr:uid="{00000000-0004-0000-0900-0000B2000000}"/>
    <hyperlink ref="M172" r:id="rId179" xr:uid="{00000000-0004-0000-0900-0000B3000000}"/>
    <hyperlink ref="M171" r:id="rId180" xr:uid="{00000000-0004-0000-0900-0000B4000000}"/>
    <hyperlink ref="M170" r:id="rId181" xr:uid="{00000000-0004-0000-0900-0000B5000000}"/>
    <hyperlink ref="M168" r:id="rId182" xr:uid="{00000000-0004-0000-0900-0000B6000000}"/>
    <hyperlink ref="M163" r:id="rId183" xr:uid="{00000000-0004-0000-0900-0000B7000000}"/>
    <hyperlink ref="M160" r:id="rId184" xr:uid="{00000000-0004-0000-0900-0000B8000000}"/>
    <hyperlink ref="M159" r:id="rId185" xr:uid="{00000000-0004-0000-0900-0000B9000000}"/>
    <hyperlink ref="M157" r:id="rId186" xr:uid="{00000000-0004-0000-0900-0000BA000000}"/>
    <hyperlink ref="M156" r:id="rId187" xr:uid="{00000000-0004-0000-0900-0000BB000000}"/>
    <hyperlink ref="M155" r:id="rId188" xr:uid="{00000000-0004-0000-0900-0000BC000000}"/>
    <hyperlink ref="M154" r:id="rId189" xr:uid="{00000000-0004-0000-0900-0000BD000000}"/>
    <hyperlink ref="M153" r:id="rId190" xr:uid="{00000000-0004-0000-0900-0000BE000000}"/>
    <hyperlink ref="M152" r:id="rId191" xr:uid="{00000000-0004-0000-0900-0000BF000000}"/>
    <hyperlink ref="M151" r:id="rId192" xr:uid="{00000000-0004-0000-0900-0000C0000000}"/>
    <hyperlink ref="M150" r:id="rId193" xr:uid="{00000000-0004-0000-0900-0000C1000000}"/>
    <hyperlink ref="M149" r:id="rId194" xr:uid="{00000000-0004-0000-0900-0000C2000000}"/>
    <hyperlink ref="M148" r:id="rId195" xr:uid="{00000000-0004-0000-0900-0000C3000000}"/>
    <hyperlink ref="M147" r:id="rId196" xr:uid="{00000000-0004-0000-0900-0000C4000000}"/>
    <hyperlink ref="M146" r:id="rId197" xr:uid="{00000000-0004-0000-0900-0000C5000000}"/>
    <hyperlink ref="M145" r:id="rId198" xr:uid="{00000000-0004-0000-0900-0000C6000000}"/>
    <hyperlink ref="M144" r:id="rId199" xr:uid="{00000000-0004-0000-0900-0000C7000000}"/>
    <hyperlink ref="M143" r:id="rId200" xr:uid="{00000000-0004-0000-0900-0000C8000000}"/>
    <hyperlink ref="M142" r:id="rId201" xr:uid="{00000000-0004-0000-0900-0000C9000000}"/>
    <hyperlink ref="M141" r:id="rId202" xr:uid="{00000000-0004-0000-0900-0000CA000000}"/>
    <hyperlink ref="M140" r:id="rId203" xr:uid="{00000000-0004-0000-0900-0000CB000000}"/>
    <hyperlink ref="M139" r:id="rId204" xr:uid="{00000000-0004-0000-0900-0000CC000000}"/>
    <hyperlink ref="M138" r:id="rId205" xr:uid="{00000000-0004-0000-0900-0000CD000000}"/>
    <hyperlink ref="M137" r:id="rId206" xr:uid="{00000000-0004-0000-0900-0000CE000000}"/>
    <hyperlink ref="M136" r:id="rId207" xr:uid="{00000000-0004-0000-0900-0000CF000000}"/>
    <hyperlink ref="M135" r:id="rId208" xr:uid="{00000000-0004-0000-0900-0000D0000000}"/>
    <hyperlink ref="M134" r:id="rId209" xr:uid="{00000000-0004-0000-0900-0000D1000000}"/>
    <hyperlink ref="M133" r:id="rId210" xr:uid="{00000000-0004-0000-0900-0000D2000000}"/>
    <hyperlink ref="M132" r:id="rId211" xr:uid="{00000000-0004-0000-0900-0000D3000000}"/>
    <hyperlink ref="M131" r:id="rId212" xr:uid="{00000000-0004-0000-0900-0000D4000000}"/>
    <hyperlink ref="M130" r:id="rId213" xr:uid="{00000000-0004-0000-0900-0000D5000000}"/>
    <hyperlink ref="M129" r:id="rId214" xr:uid="{00000000-0004-0000-0900-0000D6000000}"/>
    <hyperlink ref="M128" r:id="rId215" xr:uid="{00000000-0004-0000-0900-0000D7000000}"/>
    <hyperlink ref="M127" r:id="rId216" xr:uid="{00000000-0004-0000-0900-0000D8000000}"/>
    <hyperlink ref="M126" r:id="rId217" xr:uid="{00000000-0004-0000-0900-0000D9000000}"/>
    <hyperlink ref="M122" r:id="rId218" xr:uid="{00000000-0004-0000-0900-0000DA000000}"/>
    <hyperlink ref="M120" r:id="rId219" xr:uid="{00000000-0004-0000-0900-0000DB000000}"/>
    <hyperlink ref="M119" r:id="rId220" xr:uid="{00000000-0004-0000-0900-0000DC000000}"/>
    <hyperlink ref="M118" r:id="rId221" xr:uid="{00000000-0004-0000-0900-0000DD000000}"/>
    <hyperlink ref="M117" r:id="rId222" xr:uid="{00000000-0004-0000-0900-0000DE000000}"/>
    <hyperlink ref="M111" r:id="rId223" xr:uid="{00000000-0004-0000-0900-0000DF000000}"/>
    <hyperlink ref="M104" r:id="rId224" xr:uid="{00000000-0004-0000-0900-0000E0000000}"/>
    <hyperlink ref="M103" r:id="rId225" xr:uid="{00000000-0004-0000-0900-0000E1000000}"/>
    <hyperlink ref="M101" r:id="rId226" xr:uid="{00000000-0004-0000-0900-0000E2000000}"/>
    <hyperlink ref="M100" r:id="rId227" xr:uid="{00000000-0004-0000-0900-0000E3000000}"/>
    <hyperlink ref="M99" r:id="rId228" xr:uid="{00000000-0004-0000-0900-0000E4000000}"/>
    <hyperlink ref="M97" r:id="rId229" xr:uid="{00000000-0004-0000-0900-0000E5000000}"/>
    <hyperlink ref="M96" r:id="rId230" xr:uid="{00000000-0004-0000-0900-0000E6000000}"/>
    <hyperlink ref="M95" r:id="rId231" xr:uid="{00000000-0004-0000-0900-0000E7000000}"/>
    <hyperlink ref="M94" r:id="rId232" xr:uid="{00000000-0004-0000-0900-0000E8000000}"/>
    <hyperlink ref="M93" r:id="rId233" xr:uid="{00000000-0004-0000-0900-0000E9000000}"/>
    <hyperlink ref="M92" r:id="rId234" xr:uid="{00000000-0004-0000-0900-0000EA000000}"/>
    <hyperlink ref="M91" r:id="rId235" xr:uid="{00000000-0004-0000-0900-0000EB000000}"/>
    <hyperlink ref="M90" r:id="rId236" xr:uid="{00000000-0004-0000-0900-0000EC000000}"/>
    <hyperlink ref="M88" r:id="rId237" xr:uid="{00000000-0004-0000-0900-0000ED000000}"/>
    <hyperlink ref="M86" r:id="rId238" xr:uid="{00000000-0004-0000-0900-0000EE000000}"/>
    <hyperlink ref="M85" r:id="rId239" xr:uid="{00000000-0004-0000-0900-0000EF000000}"/>
    <hyperlink ref="M84" r:id="rId240" xr:uid="{00000000-0004-0000-0900-0000F0000000}"/>
    <hyperlink ref="M83" r:id="rId241" xr:uid="{00000000-0004-0000-0900-0000F1000000}"/>
    <hyperlink ref="M82" r:id="rId242" xr:uid="{00000000-0004-0000-0900-0000F2000000}"/>
    <hyperlink ref="M81" r:id="rId243" xr:uid="{00000000-0004-0000-0900-0000F3000000}"/>
    <hyperlink ref="M80" r:id="rId244" xr:uid="{00000000-0004-0000-0900-0000F4000000}"/>
    <hyperlink ref="M79" r:id="rId245" xr:uid="{00000000-0004-0000-0900-0000F5000000}"/>
    <hyperlink ref="M78" r:id="rId246" xr:uid="{00000000-0004-0000-0900-0000F6000000}"/>
    <hyperlink ref="M77" r:id="rId247" xr:uid="{00000000-0004-0000-0900-0000F7000000}"/>
    <hyperlink ref="M76" r:id="rId248" xr:uid="{00000000-0004-0000-0900-0000F8000000}"/>
    <hyperlink ref="M75" r:id="rId249" xr:uid="{00000000-0004-0000-0900-0000F9000000}"/>
    <hyperlink ref="M72" r:id="rId250" xr:uid="{00000000-0004-0000-0900-0000FA000000}"/>
    <hyperlink ref="M71" r:id="rId251" xr:uid="{00000000-0004-0000-0900-0000FB000000}"/>
    <hyperlink ref="M70" r:id="rId252" xr:uid="{00000000-0004-0000-0900-0000FC000000}"/>
    <hyperlink ref="M69" r:id="rId253" xr:uid="{00000000-0004-0000-0900-0000FD000000}"/>
    <hyperlink ref="M68" r:id="rId254" xr:uid="{00000000-0004-0000-0900-0000FE000000}"/>
    <hyperlink ref="M67" r:id="rId255" xr:uid="{00000000-0004-0000-0900-0000FF000000}"/>
    <hyperlink ref="M66" r:id="rId256" xr:uid="{00000000-0004-0000-0900-000000010000}"/>
    <hyperlink ref="M65" r:id="rId257" xr:uid="{00000000-0004-0000-0900-000001010000}"/>
    <hyperlink ref="M64" r:id="rId258" xr:uid="{00000000-0004-0000-0900-000002010000}"/>
    <hyperlink ref="M63" r:id="rId259" xr:uid="{00000000-0004-0000-0900-000003010000}"/>
    <hyperlink ref="M61" r:id="rId260" xr:uid="{00000000-0004-0000-0900-000004010000}"/>
    <hyperlink ref="M60" r:id="rId261" xr:uid="{00000000-0004-0000-0900-000005010000}"/>
    <hyperlink ref="M59" r:id="rId262" xr:uid="{00000000-0004-0000-0900-000006010000}"/>
    <hyperlink ref="M55" r:id="rId263" xr:uid="{00000000-0004-0000-0900-000007010000}"/>
    <hyperlink ref="M54" r:id="rId264" xr:uid="{00000000-0004-0000-0900-000008010000}"/>
    <hyperlink ref="M53" r:id="rId265" xr:uid="{00000000-0004-0000-0900-000009010000}"/>
    <hyperlink ref="M51" r:id="rId266" xr:uid="{00000000-0004-0000-0900-00000A010000}"/>
    <hyperlink ref="M50" r:id="rId267" xr:uid="{00000000-0004-0000-0900-00000B010000}"/>
    <hyperlink ref="M49" r:id="rId268" xr:uid="{00000000-0004-0000-0900-00000C010000}"/>
    <hyperlink ref="M48" r:id="rId269" xr:uid="{00000000-0004-0000-0900-00000D010000}"/>
    <hyperlink ref="M47" r:id="rId270" xr:uid="{00000000-0004-0000-0900-00000E010000}"/>
    <hyperlink ref="M46" r:id="rId271" xr:uid="{00000000-0004-0000-0900-00000F010000}"/>
    <hyperlink ref="M45" r:id="rId272" xr:uid="{00000000-0004-0000-0900-000010010000}"/>
    <hyperlink ref="M43" r:id="rId273" xr:uid="{00000000-0004-0000-0900-000011010000}"/>
    <hyperlink ref="M42" r:id="rId274" xr:uid="{00000000-0004-0000-0900-000012010000}"/>
    <hyperlink ref="M37" r:id="rId275" xr:uid="{00000000-0004-0000-0900-000013010000}"/>
    <hyperlink ref="M35" r:id="rId276" xr:uid="{00000000-0004-0000-0900-000014010000}"/>
    <hyperlink ref="M34" r:id="rId277" xr:uid="{00000000-0004-0000-0900-000015010000}"/>
    <hyperlink ref="M33" r:id="rId278" xr:uid="{00000000-0004-0000-0900-000016010000}"/>
    <hyperlink ref="M31" r:id="rId279" xr:uid="{00000000-0004-0000-0900-000017010000}"/>
    <hyperlink ref="M30" r:id="rId280" xr:uid="{00000000-0004-0000-0900-000018010000}"/>
    <hyperlink ref="M29" r:id="rId281" xr:uid="{00000000-0004-0000-0900-000019010000}"/>
    <hyperlink ref="M27" r:id="rId282" xr:uid="{00000000-0004-0000-0900-00001A010000}"/>
    <hyperlink ref="M26" r:id="rId283" xr:uid="{00000000-0004-0000-0900-00001B010000}"/>
    <hyperlink ref="M25" r:id="rId284" xr:uid="{00000000-0004-0000-0900-00001C010000}"/>
    <hyperlink ref="M23" r:id="rId285" xr:uid="{00000000-0004-0000-0900-00001D010000}"/>
    <hyperlink ref="M22" r:id="rId286" xr:uid="{00000000-0004-0000-0900-00001E010000}"/>
    <hyperlink ref="M20" r:id="rId287" xr:uid="{00000000-0004-0000-0900-00001F010000}"/>
    <hyperlink ref="M19" r:id="rId288" xr:uid="{00000000-0004-0000-0900-000020010000}"/>
    <hyperlink ref="M17" r:id="rId289" xr:uid="{00000000-0004-0000-0900-000021010000}"/>
    <hyperlink ref="M16" r:id="rId290" xr:uid="{00000000-0004-0000-0900-000022010000}"/>
    <hyperlink ref="M15" r:id="rId291" xr:uid="{00000000-0004-0000-0900-000023010000}"/>
    <hyperlink ref="M14" r:id="rId292" xr:uid="{00000000-0004-0000-0900-000024010000}"/>
    <hyperlink ref="M13" r:id="rId293" xr:uid="{00000000-0004-0000-0900-000025010000}"/>
    <hyperlink ref="M12" r:id="rId294" xr:uid="{00000000-0004-0000-0900-000026010000}"/>
    <hyperlink ref="M11" r:id="rId295" xr:uid="{00000000-0004-0000-0900-000027010000}"/>
    <hyperlink ref="M10" r:id="rId296" xr:uid="{00000000-0004-0000-0900-000028010000}"/>
    <hyperlink ref="M9" r:id="rId297" xr:uid="{00000000-0004-0000-0900-000029010000}"/>
    <hyperlink ref="M6" r:id="rId298" xr:uid="{00000000-0004-0000-0900-00002A010000}"/>
    <hyperlink ref="M5" r:id="rId299" xr:uid="{00000000-0004-0000-0900-00002B010000}"/>
    <hyperlink ref="M4" r:id="rId300" xr:uid="{00000000-0004-0000-0900-00002C010000}"/>
    <hyperlink ref="M3" r:id="rId301" xr:uid="{00000000-0004-0000-0900-00002D010000}"/>
    <hyperlink ref="M2" r:id="rId302" xr:uid="{00000000-0004-0000-0900-00002E010000}"/>
    <hyperlink ref="M303" r:id="rId303" xr:uid="{00000000-0004-0000-0900-00002F01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19" width="20.6640625" customWidth="1"/>
  </cols>
  <sheetData>
    <row r="1" spans="1:17" x14ac:dyDescent="0.3">
      <c r="A1" s="2" t="s">
        <v>0</v>
      </c>
    </row>
    <row r="2" spans="1:17" x14ac:dyDescent="0.3">
      <c r="A2" s="1" t="s">
        <v>1509</v>
      </c>
      <c r="B2" s="1" t="s">
        <v>131</v>
      </c>
      <c r="C2" s="1" t="s">
        <v>1510</v>
      </c>
      <c r="D2" s="1" t="s">
        <v>1511</v>
      </c>
      <c r="E2" s="1" t="s">
        <v>1512</v>
      </c>
      <c r="F2" s="1" t="s">
        <v>1513</v>
      </c>
      <c r="G2" s="1" t="s">
        <v>1514</v>
      </c>
      <c r="H2" s="1" t="s">
        <v>1512</v>
      </c>
      <c r="I2" s="1" t="s">
        <v>1515</v>
      </c>
      <c r="J2" s="1" t="s">
        <v>1516</v>
      </c>
      <c r="K2" s="1" t="s">
        <v>1517</v>
      </c>
      <c r="L2" s="1" t="s">
        <v>1518</v>
      </c>
      <c r="M2" s="1" t="s">
        <v>1519</v>
      </c>
      <c r="N2" s="1" t="s">
        <v>1520</v>
      </c>
      <c r="O2" s="1" t="s">
        <v>1521</v>
      </c>
      <c r="P2" s="1" t="s">
        <v>1522</v>
      </c>
      <c r="Q2" s="1" t="s">
        <v>1523</v>
      </c>
    </row>
  </sheetData>
  <autoFilter ref="A2:S2" xr:uid="{00000000-0009-0000-0000-00000A000000}"/>
  <hyperlinks>
    <hyperlink ref="A1" location="'Home Worksheet'!A1" display="'Home Worksheet'!A1"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8"/>
  <sheetViews>
    <sheetView workbookViewId="0"/>
  </sheetViews>
  <sheetFormatPr defaultRowHeight="14.4" x14ac:dyDescent="0.3"/>
  <cols>
    <col min="1" max="13" width="20.6640625" customWidth="1"/>
  </cols>
  <sheetData>
    <row r="1" spans="1:15" x14ac:dyDescent="0.3">
      <c r="A1" s="2" t="s">
        <v>0</v>
      </c>
    </row>
    <row r="2" spans="1:15" x14ac:dyDescent="0.3">
      <c r="A2" s="4" t="s">
        <v>1524</v>
      </c>
      <c r="B2" s="4"/>
      <c r="C2" s="4"/>
      <c r="D2" s="4"/>
    </row>
    <row r="3" spans="1:15" x14ac:dyDescent="0.3">
      <c r="A3" s="1"/>
      <c r="B3" s="1" t="s">
        <v>1525</v>
      </c>
      <c r="C3" s="1" t="s">
        <v>1512</v>
      </c>
      <c r="D3" s="1" t="s">
        <v>1513</v>
      </c>
      <c r="E3" s="1" t="s">
        <v>1514</v>
      </c>
      <c r="F3" s="1" t="s">
        <v>1512</v>
      </c>
      <c r="G3" s="1" t="s">
        <v>1515</v>
      </c>
      <c r="H3" s="1" t="s">
        <v>1516</v>
      </c>
      <c r="I3" s="1" t="s">
        <v>1517</v>
      </c>
      <c r="J3" s="1" t="s">
        <v>1518</v>
      </c>
      <c r="K3" s="1" t="s">
        <v>1519</v>
      </c>
      <c r="L3" s="1" t="s">
        <v>1520</v>
      </c>
      <c r="M3" s="1" t="s">
        <v>1521</v>
      </c>
      <c r="N3" s="1" t="s">
        <v>1522</v>
      </c>
      <c r="O3" s="1" t="s">
        <v>1523</v>
      </c>
    </row>
    <row r="4" spans="1:15" x14ac:dyDescent="0.3">
      <c r="A4" s="3" t="s">
        <v>1526</v>
      </c>
      <c r="B4" s="3">
        <f>COUNTIF(UserAccountData!$D$2:$D$3,A4)</f>
        <v>0</v>
      </c>
      <c r="C4" s="3">
        <f>SUMPRODUCT(--(UserAccountData!$D$2:$D$3 = A4)*--(UserAccountData!$E$2:$E$3 ="Y"))</f>
        <v>0</v>
      </c>
      <c r="D4" s="3">
        <f>SUMPRODUCT(--(UserAccountData!$D$2:$D$3 = A4)*--(UserAccountData!$F$2:$F$3 ="Y"))</f>
        <v>0</v>
      </c>
      <c r="E4" s="3">
        <f>SUMPRODUCT(--(UserAccountData!$D$2:$D$3 = A4)*--(UserAccountData!$G$2:$G$3 ="Y"))</f>
        <v>0</v>
      </c>
      <c r="F4" s="3">
        <f>SUMPRODUCT(--(UserAccountData!$D$2:$D$3 = A4)*--(UserAccountData!$H$2:$H$3 ="Y"))</f>
        <v>0</v>
      </c>
      <c r="G4" s="3">
        <f>SUMPRODUCT(--(UserAccountData!$D$2:$D$3 = A4)*--(UserAccountData!$I$2:$I$3 ="Y"))</f>
        <v>0</v>
      </c>
      <c r="H4" s="3">
        <f>SUMPRODUCT(--(UserAccountData!$D$2:$D$3 = A4)*--(UserAccountData!$J$2:$J$3 ="Y"))</f>
        <v>0</v>
      </c>
      <c r="I4" s="3">
        <f>SUMPRODUCT(--(UserAccountData!$D$2:$D$3 = A4)*--(UserAccountData!$K$2:$K$3 ="Y"))</f>
        <v>0</v>
      </c>
      <c r="J4" s="3">
        <f>SUMPRODUCT(--(UserAccountData!$D$2:$D$3 = A4)*--(UserAccountData!$L$2:$L$3 ="Y"))</f>
        <v>0</v>
      </c>
      <c r="K4" s="3">
        <f>SUMPRODUCT(--(UserAccountData!$D$2:$D$3 = A4)*--(UserAccountData!$M$2:$M$3 ="Y"))</f>
        <v>0</v>
      </c>
      <c r="L4" s="3">
        <f>SUMPRODUCT(--(UserAccountData!$D$2:$D$3 = A4)*--(UserAccountData!$N$2:$N$3 ="Y"))</f>
        <v>0</v>
      </c>
      <c r="M4" s="3">
        <f>SUMPRODUCT(--(UserAccountData!$D$2:$D$3 = A4)*--(UserAccountData!$O$2:$O$3 ="Y"))</f>
        <v>0</v>
      </c>
      <c r="N4" s="3">
        <f>SUMPRODUCT(--(UserAccountData!$D$2:$D$3 = A4)*--(UserAccountData!$P$2:$P$3 ="Y"))</f>
        <v>0</v>
      </c>
      <c r="O4" s="3">
        <f>SUMPRODUCT(--(UserAccountData!$D$2:$D$3 = A4)*--(UserAccountData!$Q$2:$Q$3 ="Y"))</f>
        <v>0</v>
      </c>
    </row>
    <row r="5" spans="1:15" x14ac:dyDescent="0.3">
      <c r="A5" s="3" t="s">
        <v>1527</v>
      </c>
      <c r="B5" s="3">
        <f>COUNTIF(UserAccountData!$D$2:$D$3,A5)</f>
        <v>0</v>
      </c>
      <c r="C5" s="3">
        <f>SUMPRODUCT(--(UserAccountData!$D$2:$D$3 = A5),--(UserAccountData!$E$2:$E$3 ="Y"))</f>
        <v>0</v>
      </c>
      <c r="D5" s="3">
        <f>SUMPRODUCT(--(UserAccountData!$D$2:$D$3 = A5),--(UserAccountData!$F$2:$F$3 ="Y"))</f>
        <v>0</v>
      </c>
      <c r="E5" s="3">
        <f>SUMPRODUCT(--(UserAccountData!$D$2:$D$3 = A5),--(UserAccountData!$G$2:$G$3 ="Y"))</f>
        <v>0</v>
      </c>
      <c r="F5" s="3">
        <f>SUMPRODUCT(--(UserAccountData!$D$2:$D$3 = A5),--(UserAccountData!$H$2:$H$3 ="Y"))</f>
        <v>0</v>
      </c>
      <c r="G5" s="3">
        <f>SUMPRODUCT(--(UserAccountData!$D$2:$D$3 = A5),--(UserAccountData!$I$2:$I$3 ="Y"))</f>
        <v>0</v>
      </c>
      <c r="H5" s="3">
        <f>SUMPRODUCT(--(UserAccountData!$D$2:$D$3 = A5),--(UserAccountData!$J$2:$J$3 ="Y"))</f>
        <v>0</v>
      </c>
      <c r="I5" s="3">
        <f>SUMPRODUCT(--(UserAccountData!$D$2:$D$3 = A5),--(UserAccountData!$K$2:$K$3 ="Y"))</f>
        <v>0</v>
      </c>
      <c r="J5" s="3">
        <f>SUMPRODUCT(--(UserAccountData!$D$2:$D$3 = A5),--(UserAccountData!$L$2:$L$3 ="Y"))</f>
        <v>0</v>
      </c>
      <c r="K5" s="3">
        <f>SUMPRODUCT(--(UserAccountData!$D$2:$D$3 = A5),--(UserAccountData!$M$2:$M$3 ="Y"))</f>
        <v>0</v>
      </c>
      <c r="L5" s="3">
        <f>SUMPRODUCT(--(UserAccountData!$D$2:$D$3 = A5),--(UserAccountData!$N$2:$N$3 ="Y"))</f>
        <v>0</v>
      </c>
      <c r="M5" s="3">
        <f>SUMPRODUCT(--(UserAccountData!$D$2:$D$3 = A5),--(UserAccountData!$O$2:$O$3 ="Y"))</f>
        <v>0</v>
      </c>
      <c r="N5" s="3">
        <f>SUMPRODUCT(--(UserAccountData!$D$2:$D$3 = A5),--(UserAccountData!$P$2:$P$3 ="Y"))</f>
        <v>0</v>
      </c>
      <c r="O5" s="3">
        <f>SUMPRODUCT(--(UserAccountData!$D$2:$D$3 = A5),--(UserAccountData!$Q$2:$Q$3 ="Y"))</f>
        <v>0</v>
      </c>
    </row>
    <row r="6" spans="1:15" x14ac:dyDescent="0.3">
      <c r="A6" s="3" t="s">
        <v>1528</v>
      </c>
      <c r="B6" s="3">
        <f>COUNTIF(UserAccountData!$D$2:$D$3,A6)</f>
        <v>0</v>
      </c>
      <c r="C6" s="3">
        <f>SUMPRODUCT(--(UserAccountData!$D$2:$D$3 = A6),--(UserAccountData!$E$2:$E$3 ="Y"))</f>
        <v>0</v>
      </c>
      <c r="D6" s="3">
        <f>SUMPRODUCT(--(UserAccountData!$D$2:$D$3 = A6),--(UserAccountData!$F$2:$F$3 ="Y"))</f>
        <v>0</v>
      </c>
      <c r="E6" s="3">
        <f>SUMPRODUCT(--(UserAccountData!$D$2:$D$3 = A6),--(UserAccountData!$G$2:$G$3 ="Y"))</f>
        <v>0</v>
      </c>
      <c r="F6" s="3">
        <f>SUMPRODUCT(--(UserAccountData!$D$2:$D$3 = A6),--(UserAccountData!$H$2:$H$3 ="Y"))</f>
        <v>0</v>
      </c>
      <c r="G6" s="3">
        <f>SUMPRODUCT(--(UserAccountData!$D$2:$D$3 = A6),--(UserAccountData!$I$2:$I$3 ="Y"))</f>
        <v>0</v>
      </c>
      <c r="H6" s="3">
        <f>SUMPRODUCT(--(UserAccountData!$D$2:$D$3 = A6),--(UserAccountData!$J$2:$J$3 ="Y"))</f>
        <v>0</v>
      </c>
      <c r="I6" s="3">
        <f>SUMPRODUCT(--(UserAccountData!$D$2:$D$3 = A6),--(UserAccountData!$K$2:$K$3 ="Y"))</f>
        <v>0</v>
      </c>
      <c r="J6" s="3">
        <f>SUMPRODUCT(--(UserAccountData!$D$2:$D$3 = A6),--(UserAccountData!$L$2:$L$3 ="Y"))</f>
        <v>0</v>
      </c>
      <c r="K6" s="3">
        <f>SUMPRODUCT(--(UserAccountData!$D$2:$D$3 = A6),--(UserAccountData!$M$2:$M$3 ="Y"))</f>
        <v>0</v>
      </c>
      <c r="L6" s="3">
        <f>SUMPRODUCT(--(UserAccountData!$D$2:$D$3 = A6),--(UserAccountData!$N$2:$N$3 ="Y"))</f>
        <v>0</v>
      </c>
      <c r="M6" s="3">
        <f>SUMPRODUCT(--(UserAccountData!$D$2:$D$3 = A6),--(UserAccountData!$O$2:$O$3 ="Y"))</f>
        <v>0</v>
      </c>
      <c r="N6" s="3">
        <f>SUMPRODUCT(--(UserAccountData!$D$2:$D$3 = A6),--(UserAccountData!$P$2:$P$3 ="Y"))</f>
        <v>0</v>
      </c>
      <c r="O6" s="3">
        <f>SUMPRODUCT(--(UserAccountData!$D$2:$D$3 = A6),--(UserAccountData!$Q$2:$Q$3 ="Y"))</f>
        <v>0</v>
      </c>
    </row>
    <row r="7" spans="1:15" x14ac:dyDescent="0.3">
      <c r="A7" s="3" t="s">
        <v>1529</v>
      </c>
      <c r="B7" s="3">
        <f>COUNTIF(UserAccountData!$D$2:$D$3,A7)</f>
        <v>0</v>
      </c>
      <c r="C7" s="3">
        <f>SUMPRODUCT(--(UserAccountData!$D$2:$D$3 = A7),--(UserAccountData!$E$2:$E$3 ="Y"))</f>
        <v>0</v>
      </c>
      <c r="D7" s="3">
        <f>SUMPRODUCT(--(UserAccountData!$D$2:$D$3 = A7),--(UserAccountData!$F$2:$F$3 ="Y"))</f>
        <v>0</v>
      </c>
      <c r="E7" s="3">
        <f>SUMPRODUCT(--(UserAccountData!$D$2:$D$3 = A7),--(UserAccountData!$G$2:$G$3 ="Y"))</f>
        <v>0</v>
      </c>
      <c r="F7" s="3">
        <f>SUMPRODUCT(--(UserAccountData!$D$2:$D$3 = A7),--(UserAccountData!$H$2:$H$3 ="Y"))</f>
        <v>0</v>
      </c>
      <c r="G7" s="3">
        <f>SUMPRODUCT(--(UserAccountData!$D$2:$D$3 = A7),--(UserAccountData!$I$2:$I$3 ="Y"))</f>
        <v>0</v>
      </c>
      <c r="H7" s="3">
        <f>SUMPRODUCT(--(UserAccountData!$D$2:$D$3 = A7),--(UserAccountData!$J$2:$J$3 ="Y"))</f>
        <v>0</v>
      </c>
      <c r="I7" s="3">
        <f>SUMPRODUCT(--(UserAccountData!$D$2:$D$3 = A7),--(UserAccountData!$K$2:$K$3 ="Y"))</f>
        <v>0</v>
      </c>
      <c r="J7" s="3">
        <f>SUMPRODUCT(--(UserAccountData!$D$2:$D$3 = A7),--(UserAccountData!$L$2:$L$3 ="Y"))</f>
        <v>0</v>
      </c>
      <c r="K7" s="3">
        <f>SUMPRODUCT(--(UserAccountData!$D$2:$D$3 = A7),--(UserAccountData!$M$2:$M$3 ="Y"))</f>
        <v>0</v>
      </c>
      <c r="L7" s="3">
        <f>SUMPRODUCT(--(UserAccountData!$D$2:$D$3 = A7),--(UserAccountData!$N$2:$N$3 ="Y"))</f>
        <v>0</v>
      </c>
      <c r="M7" s="3">
        <f>SUMPRODUCT(--(UserAccountData!$D$2:$D$3 = A7),--(UserAccountData!$O$2:$O$3 ="Y"))</f>
        <v>0</v>
      </c>
      <c r="N7" s="3">
        <f>SUMPRODUCT(--(UserAccountData!$D$2:$D$3 = A7),--(UserAccountData!$P$2:$P$3 ="Y"))</f>
        <v>0</v>
      </c>
      <c r="O7" s="3">
        <f>SUMPRODUCT(--(UserAccountData!$D$2:$D$3 = A7),--(UserAccountData!$Q$2:$Q$3 ="Y"))</f>
        <v>0</v>
      </c>
    </row>
    <row r="8" spans="1:15" x14ac:dyDescent="0.3">
      <c r="A8" s="3" t="s">
        <v>1530</v>
      </c>
      <c r="B8" s="3">
        <f>COUNTIF(UserAccountData!$D$2:$D$3,A8)</f>
        <v>0</v>
      </c>
      <c r="C8" s="3">
        <f>SUMPRODUCT(--(UserAccountData!$D$2:$D$3 = A8),--(UserAccountData!$E$2:$E$3 ="Y"))</f>
        <v>0</v>
      </c>
      <c r="D8" s="3">
        <f>SUMPRODUCT(--(UserAccountData!$D$2:$D$3 = A8),--(UserAccountData!$F$2:$F$3 ="Y"))</f>
        <v>0</v>
      </c>
      <c r="E8" s="3">
        <f>SUMPRODUCT(--(UserAccountData!$D$2:$D$3 = A8),--(UserAccountData!$G$2:$G$3 ="Y"))</f>
        <v>0</v>
      </c>
      <c r="F8" s="3">
        <f>SUMPRODUCT(--(UserAccountData!$D$2:$D$3 = A8),--(UserAccountData!$H$2:$H$3 ="Y"))</f>
        <v>0</v>
      </c>
      <c r="G8" s="3">
        <f>SUMPRODUCT(--(UserAccountData!$D$2:$D$3 = A8),--(UserAccountData!$I$2:$I$3 ="Y"))</f>
        <v>0</v>
      </c>
      <c r="H8" s="3">
        <f>SUMPRODUCT(--(UserAccountData!$D$2:$D$3 = A8),--(UserAccountData!$J$2:$J$3 ="Y"))</f>
        <v>0</v>
      </c>
      <c r="I8" s="3">
        <f>SUMPRODUCT(--(UserAccountData!$D$2:$D$3 = A8),--(UserAccountData!$K$2:$K$3 ="Y"))</f>
        <v>0</v>
      </c>
      <c r="J8" s="3">
        <f>SUMPRODUCT(--(UserAccountData!$D$2:$D$3 = A8),--(UserAccountData!$L$2:$L$3 ="Y"))</f>
        <v>0</v>
      </c>
      <c r="K8" s="3">
        <f>SUMPRODUCT(--(UserAccountData!$D$2:$D$3 = A8),--(UserAccountData!$M$2:$M$3 ="Y"))</f>
        <v>0</v>
      </c>
      <c r="L8" s="3">
        <f>SUMPRODUCT(--(UserAccountData!$D$2:$D$3 = A8),--(UserAccountData!$N$2:$N$3 ="Y"))</f>
        <v>0</v>
      </c>
      <c r="M8" s="3">
        <f>SUMPRODUCT(--(UserAccountData!$D$2:$D$3 = A8),--(UserAccountData!$O$2:$O$3 ="Y"))</f>
        <v>0</v>
      </c>
      <c r="N8" s="3">
        <f>SUMPRODUCT(--(UserAccountData!$D$2:$D$3 = A8),--(UserAccountData!$P$2:$P$3 ="Y"))</f>
        <v>0</v>
      </c>
      <c r="O8" s="3">
        <f>SUMPRODUCT(--(UserAccountData!$D$2:$D$3 = A8),--(UserAccountData!$Q$2:$Q$3 ="Y"))</f>
        <v>0</v>
      </c>
    </row>
    <row r="9" spans="1:15" x14ac:dyDescent="0.3">
      <c r="A9" s="3" t="s">
        <v>1531</v>
      </c>
      <c r="B9" s="3">
        <f>COUNTIF(UserAccountData!$D$2:$D$3,A9)</f>
        <v>0</v>
      </c>
      <c r="C9" s="3">
        <f>SUMPRODUCT(--(UserAccountData!$D$2:$D$3 = A9),--(UserAccountData!$E$2:$E$3 ="Y"))</f>
        <v>0</v>
      </c>
      <c r="D9" s="3">
        <f>SUMPRODUCT(--(UserAccountData!$D$2:$D$3 = A9),--(UserAccountData!$F$2:$F$3 ="Y"))</f>
        <v>0</v>
      </c>
      <c r="E9" s="3">
        <f>SUMPRODUCT(--(UserAccountData!$D$2:$D$3 = A9),--(UserAccountData!$G$2:$G$3 ="Y"))</f>
        <v>0</v>
      </c>
      <c r="F9" s="3">
        <f>SUMPRODUCT(--(UserAccountData!$D$2:$D$3 = A9),--(UserAccountData!$H$2:$H$3 ="Y"))</f>
        <v>0</v>
      </c>
      <c r="G9" s="3">
        <f>SUMPRODUCT(--(UserAccountData!$D$2:$D$3 = A9),--(UserAccountData!$I$2:$I$3 ="Y"))</f>
        <v>0</v>
      </c>
      <c r="H9" s="3">
        <f>SUMPRODUCT(--(UserAccountData!$D$2:$D$3 = A9),--(UserAccountData!$J$2:$J$3 ="Y"))</f>
        <v>0</v>
      </c>
      <c r="I9" s="3">
        <f>SUMPRODUCT(--(UserAccountData!$D$2:$D$3 = A9),--(UserAccountData!$K$2:$K$3 ="Y"))</f>
        <v>0</v>
      </c>
      <c r="J9" s="3">
        <f>SUMPRODUCT(--(UserAccountData!$D$2:$D$3 = A9),--(UserAccountData!$L$2:$L$3 ="Y"))</f>
        <v>0</v>
      </c>
      <c r="K9" s="3">
        <f>SUMPRODUCT(--(UserAccountData!$D$2:$D$3 = A9),--(UserAccountData!$M$2:$M$3 ="Y"))</f>
        <v>0</v>
      </c>
      <c r="L9" s="3">
        <f>SUMPRODUCT(--(UserAccountData!$D$2:$D$3 = A9),--(UserAccountData!$N$2:$N$3 ="Y"))</f>
        <v>0</v>
      </c>
      <c r="M9" s="3">
        <f>SUMPRODUCT(--(UserAccountData!$D$2:$D$3 = A9),--(UserAccountData!$O$2:$O$3 ="Y"))</f>
        <v>0</v>
      </c>
      <c r="N9" s="3">
        <f>SUMPRODUCT(--(UserAccountData!$D$2:$D$3 = A9),--(UserAccountData!$P$2:$P$3 ="Y"))</f>
        <v>0</v>
      </c>
      <c r="O9" s="3">
        <f>SUMPRODUCT(--(UserAccountData!$D$2:$D$3 = A9),--(UserAccountData!$Q$2:$Q$3 ="Y"))</f>
        <v>0</v>
      </c>
    </row>
    <row r="10" spans="1:15" x14ac:dyDescent="0.3">
      <c r="A10" s="3" t="s">
        <v>1532</v>
      </c>
      <c r="B10" s="3">
        <f>COUNTIF(UserAccountData!$D$2:$D$3,A10)</f>
        <v>0</v>
      </c>
      <c r="C10" s="3">
        <f>SUMPRODUCT(--(UserAccountData!$D$2:$D$3 = A10),--(UserAccountData!$E$2:$E$3 ="Y"))</f>
        <v>0</v>
      </c>
      <c r="D10" s="3">
        <f>SUMPRODUCT(--(UserAccountData!$D$2:$D$3 = A10),--(UserAccountData!$F$2:$F$3 ="Y"))</f>
        <v>0</v>
      </c>
      <c r="E10" s="3">
        <f>SUMPRODUCT(--(UserAccountData!$D$2:$D$3 = A10),--(UserAccountData!$G$2:$G$3 ="Y"))</f>
        <v>0</v>
      </c>
      <c r="F10" s="3">
        <f>SUMPRODUCT(--(UserAccountData!$D$2:$D$3 = A10),--(UserAccountData!$H$2:$H$3 ="Y"))</f>
        <v>0</v>
      </c>
      <c r="G10" s="3">
        <f>SUMPRODUCT(--(UserAccountData!$D$2:$D$3 = A10),--(UserAccountData!$I$2:$I$3 ="Y"))</f>
        <v>0</v>
      </c>
      <c r="H10" s="3">
        <f>SUMPRODUCT(--(UserAccountData!$D$2:$D$3 = A10),--(UserAccountData!$J$2:$J$3 ="Y"))</f>
        <v>0</v>
      </c>
      <c r="I10" s="3">
        <f>SUMPRODUCT(--(UserAccountData!$D$2:$D$3 = A10),--(UserAccountData!$K$2:$K$3 ="Y"))</f>
        <v>0</v>
      </c>
      <c r="J10" s="3">
        <f>SUMPRODUCT(--(UserAccountData!$D$2:$D$3 = A10),--(UserAccountData!$L$2:$L$3 ="Y"))</f>
        <v>0</v>
      </c>
      <c r="K10" s="3">
        <f>SUMPRODUCT(--(UserAccountData!$D$2:$D$3 = A10),--(UserAccountData!$M$2:$M$3 ="Y"))</f>
        <v>0</v>
      </c>
      <c r="L10" s="3">
        <f>SUMPRODUCT(--(UserAccountData!$D$2:$D$3 = A10),--(UserAccountData!$N$2:$N$3 ="Y"))</f>
        <v>0</v>
      </c>
      <c r="M10" s="3">
        <f>SUMPRODUCT(--(UserAccountData!$D$2:$D$3 = A10),--(UserAccountData!$O$2:$O$3 ="Y"))</f>
        <v>0</v>
      </c>
      <c r="N10" s="3">
        <f>SUMPRODUCT(--(UserAccountData!$D$2:$D$3 = A10),--(UserAccountData!$P$2:$P$3 ="Y"))</f>
        <v>0</v>
      </c>
      <c r="O10" s="3">
        <f>SUMPRODUCT(--(UserAccountData!$D$2:$D$3 = A10),--(UserAccountData!$Q$2:$Q$3 ="Y"))</f>
        <v>0</v>
      </c>
    </row>
    <row r="11" spans="1:15" x14ac:dyDescent="0.3">
      <c r="A11" s="3" t="s">
        <v>1533</v>
      </c>
      <c r="B11" s="3">
        <f>COUNTIF(UserAccountData!$D$2:$D$3,A11)</f>
        <v>0</v>
      </c>
      <c r="C11" s="3">
        <f>SUMPRODUCT(--(UserAccountData!$D$2:$D$3 = A11),--(UserAccountData!$E$2:$E$3 ="Y"))</f>
        <v>0</v>
      </c>
      <c r="D11" s="3">
        <f>SUMPRODUCT(--(UserAccountData!$D$2:$D$3 = A11),--(UserAccountData!$F$2:$F$3 ="Y"))</f>
        <v>0</v>
      </c>
      <c r="E11" s="3">
        <f>SUMPRODUCT(--(UserAccountData!$D$2:$D$3 = A11),--(UserAccountData!$G$2:$G$3 ="Y"))</f>
        <v>0</v>
      </c>
      <c r="F11" s="3">
        <f>SUMPRODUCT(--(UserAccountData!$D$2:$D$3 = A11),--(UserAccountData!$H$2:$H$3 ="Y"))</f>
        <v>0</v>
      </c>
      <c r="G11" s="3">
        <f>SUMPRODUCT(--(UserAccountData!$D$2:$D$3 = A11),--(UserAccountData!$I$2:$I$3 ="Y"))</f>
        <v>0</v>
      </c>
      <c r="H11" s="3">
        <f>SUMPRODUCT(--(UserAccountData!$D$2:$D$3 = A11),--(UserAccountData!$J$2:$J$3 ="Y"))</f>
        <v>0</v>
      </c>
      <c r="I11" s="3">
        <f>SUMPRODUCT(--(UserAccountData!$D$2:$D$3 = A11),--(UserAccountData!$K$2:$K$3 ="Y"))</f>
        <v>0</v>
      </c>
      <c r="J11" s="3">
        <f>SUMPRODUCT(--(UserAccountData!$D$2:$D$3 = A11),--(UserAccountData!$L$2:$L$3 ="Y"))</f>
        <v>0</v>
      </c>
      <c r="K11" s="3">
        <f>SUMPRODUCT(--(UserAccountData!$D$2:$D$3 = A11),--(UserAccountData!$M$2:$M$3 ="Y"))</f>
        <v>0</v>
      </c>
      <c r="L11" s="3">
        <f>SUMPRODUCT(--(UserAccountData!$D$2:$D$3 = A11),--(UserAccountData!$N$2:$N$3 ="Y"))</f>
        <v>0</v>
      </c>
      <c r="M11" s="3">
        <f>SUMPRODUCT(--(UserAccountData!$D$2:$D$3 = A11),--(UserAccountData!$O$2:$O$3 ="Y"))</f>
        <v>0</v>
      </c>
      <c r="N11" s="3">
        <f>SUMPRODUCT(--(UserAccountData!$D$2:$D$3 = A11),--(UserAccountData!$P$2:$P$3 ="Y"))</f>
        <v>0</v>
      </c>
      <c r="O11" s="3">
        <f>SUMPRODUCT(--(UserAccountData!$D$2:$D$3 = A11),--(UserAccountData!$Q$2:$Q$3 ="Y"))</f>
        <v>0</v>
      </c>
    </row>
    <row r="12" spans="1:15" x14ac:dyDescent="0.3">
      <c r="A12" s="3" t="s">
        <v>1534</v>
      </c>
      <c r="B12" s="3">
        <f>COUNTIF(UserAccountData!$D$2:$D$3,A12)</f>
        <v>0</v>
      </c>
      <c r="C12" s="3">
        <f>SUMPRODUCT(--(UserAccountData!$D$2:$D$3 = A12),--(UserAccountData!$E$2:$E$3 ="Y"))</f>
        <v>0</v>
      </c>
      <c r="D12" s="3">
        <f>SUMPRODUCT(--(UserAccountData!$D$2:$D$3 = A12),--(UserAccountData!$F$2:$F$3 ="Y"))</f>
        <v>0</v>
      </c>
      <c r="E12" s="3">
        <f>SUMPRODUCT(--(UserAccountData!$D$2:$D$3 = A12),--(UserAccountData!$G$2:$G$3 ="Y"))</f>
        <v>0</v>
      </c>
      <c r="F12" s="3">
        <f>SUMPRODUCT(--(UserAccountData!$D$2:$D$3 = A12),--(UserAccountData!$H$2:$H$3 ="Y"))</f>
        <v>0</v>
      </c>
      <c r="G12" s="3">
        <f>SUMPRODUCT(--(UserAccountData!$D$2:$D$3 = A12),--(UserAccountData!$I$2:$I$3 ="Y"))</f>
        <v>0</v>
      </c>
      <c r="H12" s="3">
        <f>SUMPRODUCT(--(UserAccountData!$D$2:$D$3 = A12),--(UserAccountData!$J$2:$J$3 ="Y"))</f>
        <v>0</v>
      </c>
      <c r="I12" s="3">
        <f>SUMPRODUCT(--(UserAccountData!$D$2:$D$3 = A12),--(UserAccountData!$K$2:$K$3 ="Y"))</f>
        <v>0</v>
      </c>
      <c r="J12" s="3">
        <f>SUMPRODUCT(--(UserAccountData!$D$2:$D$3 = A12),--(UserAccountData!$L$2:$L$3 ="Y"))</f>
        <v>0</v>
      </c>
      <c r="K12" s="3">
        <f>SUMPRODUCT(--(UserAccountData!$D$2:$D$3 = A12),--(UserAccountData!$M$2:$M$3 ="Y"))</f>
        <v>0</v>
      </c>
      <c r="L12" s="3">
        <f>SUMPRODUCT(--(UserAccountData!$D$2:$D$3 = A12),--(UserAccountData!$N$2:$N$3 ="Y"))</f>
        <v>0</v>
      </c>
      <c r="M12" s="3">
        <f>SUMPRODUCT(--(UserAccountData!$D$2:$D$3 = A12),--(UserAccountData!$O$2:$O$3 ="Y"))</f>
        <v>0</v>
      </c>
      <c r="N12" s="3">
        <f>SUMPRODUCT(--(UserAccountData!$D$2:$D$3 = A12),--(UserAccountData!$P$2:$P$3 ="Y"))</f>
        <v>0</v>
      </c>
      <c r="O12" s="3">
        <f>SUMPRODUCT(--(UserAccountData!$D$2:$D$3 = A12),--(UserAccountData!$Q$2:$Q$3 ="Y"))</f>
        <v>0</v>
      </c>
    </row>
    <row r="13" spans="1:15" x14ac:dyDescent="0.3">
      <c r="A13" s="3" t="s">
        <v>1535</v>
      </c>
      <c r="B13" s="3">
        <f>COUNTIF(UserAccountData!$D$2:$D$3,A13)</f>
        <v>0</v>
      </c>
      <c r="C13" s="3">
        <f>SUMPRODUCT(--(UserAccountData!$D$2:$D$3 = A13),--(UserAccountData!$E$2:$E$3 ="Y"))</f>
        <v>0</v>
      </c>
      <c r="D13" s="3">
        <f>SUMPRODUCT(--(UserAccountData!$D$2:$D$3 = A13),--(UserAccountData!$F$2:$F$3 ="Y"))</f>
        <v>0</v>
      </c>
      <c r="E13" s="3">
        <f>SUMPRODUCT(--(UserAccountData!$D$2:$D$3 = A13),--(UserAccountData!$G$2:$G$3 ="Y"))</f>
        <v>0</v>
      </c>
      <c r="F13" s="3">
        <f>SUMPRODUCT(--(UserAccountData!$D$2:$D$3 = A13),--(UserAccountData!$H$2:$H$3 ="Y"))</f>
        <v>0</v>
      </c>
      <c r="G13" s="3">
        <f>SUMPRODUCT(--(UserAccountData!$D$2:$D$3 = A13),--(UserAccountData!$I$2:$I$3 ="Y"))</f>
        <v>0</v>
      </c>
      <c r="H13" s="3">
        <f>SUMPRODUCT(--(UserAccountData!$D$2:$D$3 = A13),--(UserAccountData!$J$2:$J$3 ="Y"))</f>
        <v>0</v>
      </c>
      <c r="I13" s="3">
        <f>SUMPRODUCT(--(UserAccountData!$D$2:$D$3 = A13),--(UserAccountData!$K$2:$K$3 ="Y"))</f>
        <v>0</v>
      </c>
      <c r="J13" s="3">
        <f>SUMPRODUCT(--(UserAccountData!$D$2:$D$3 = A13),--(UserAccountData!$L$2:$L$3 ="Y"))</f>
        <v>0</v>
      </c>
      <c r="K13" s="3">
        <f>SUMPRODUCT(--(UserAccountData!$D$2:$D$3 = A13),--(UserAccountData!$M$2:$M$3 ="Y"))</f>
        <v>0</v>
      </c>
      <c r="L13" s="3">
        <f>SUMPRODUCT(--(UserAccountData!$D$2:$D$3 = A13),--(UserAccountData!$N$2:$N$3 ="Y"))</f>
        <v>0</v>
      </c>
      <c r="M13" s="3">
        <f>SUMPRODUCT(--(UserAccountData!$D$2:$D$3 = A13),--(UserAccountData!$O$2:$O$3 ="Y"))</f>
        <v>0</v>
      </c>
      <c r="N13" s="3">
        <f>SUMPRODUCT(--(UserAccountData!$D$2:$D$3 = A13),--(UserAccountData!$P$2:$P$3 ="Y"))</f>
        <v>0</v>
      </c>
      <c r="O13" s="3">
        <f>SUMPRODUCT(--(UserAccountData!$D$2:$D$3 = A13),--(UserAccountData!$Q$2:$Q$3 ="Y"))</f>
        <v>0</v>
      </c>
    </row>
    <row r="17" spans="1:4" x14ac:dyDescent="0.3">
      <c r="A17" s="4" t="s">
        <v>1536</v>
      </c>
      <c r="B17" s="4"/>
      <c r="C17" s="4"/>
      <c r="D17" s="4"/>
    </row>
    <row r="18" spans="1:4" x14ac:dyDescent="0.3">
      <c r="A18" s="1" t="s">
        <v>85</v>
      </c>
      <c r="B18" s="1" t="s">
        <v>86</v>
      </c>
      <c r="C18" s="1" t="s">
        <v>87</v>
      </c>
      <c r="D18" s="1" t="s">
        <v>88</v>
      </c>
    </row>
    <row r="22" spans="1:4" x14ac:dyDescent="0.3">
      <c r="A22" s="4" t="s">
        <v>1537</v>
      </c>
      <c r="B22" s="4"/>
      <c r="C22" s="4"/>
      <c r="D22" s="4"/>
    </row>
    <row r="23" spans="1:4" x14ac:dyDescent="0.3">
      <c r="A23" s="1" t="s">
        <v>85</v>
      </c>
      <c r="B23" s="1" t="s">
        <v>86</v>
      </c>
      <c r="C23" s="1" t="s">
        <v>87</v>
      </c>
      <c r="D23" s="1" t="s">
        <v>88</v>
      </c>
    </row>
    <row r="27" spans="1:4" x14ac:dyDescent="0.3">
      <c r="A27" s="4" t="s">
        <v>1538</v>
      </c>
      <c r="B27" s="4"/>
      <c r="C27" s="4"/>
      <c r="D27" s="4"/>
    </row>
    <row r="28" spans="1:4" x14ac:dyDescent="0.3">
      <c r="A28" s="1" t="s">
        <v>85</v>
      </c>
      <c r="B28" s="1" t="s">
        <v>86</v>
      </c>
      <c r="C28" s="1" t="s">
        <v>87</v>
      </c>
      <c r="D28" s="1" t="s">
        <v>88</v>
      </c>
    </row>
  </sheetData>
  <mergeCells count="4">
    <mergeCell ref="A2:D2"/>
    <mergeCell ref="A17:D17"/>
    <mergeCell ref="A22:D22"/>
    <mergeCell ref="A27:D27"/>
  </mergeCells>
  <hyperlinks>
    <hyperlink ref="A1" location="'Home Worksheet'!A1" display="'Home Worksheet'!A1"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06"/>
  <sheetViews>
    <sheetView workbookViewId="0">
      <pane xSplit="6" ySplit="3" topLeftCell="G4" activePane="bottomRight" state="frozen"/>
      <selection pane="topRight" activeCell="G1" sqref="G1"/>
      <selection pane="bottomLeft" activeCell="A4" sqref="A4"/>
      <selection pane="bottomRight"/>
    </sheetView>
  </sheetViews>
  <sheetFormatPr defaultRowHeight="14.4" x14ac:dyDescent="0.3"/>
  <cols>
    <col min="1" max="7" width="20.6640625" customWidth="1"/>
  </cols>
  <sheetData>
    <row r="1" spans="1:6" x14ac:dyDescent="0.3">
      <c r="A1" s="2" t="s">
        <v>0</v>
      </c>
    </row>
    <row r="3" spans="1:6" x14ac:dyDescent="0.3">
      <c r="A3" s="1" t="s">
        <v>1539</v>
      </c>
      <c r="B3" s="1" t="s">
        <v>1540</v>
      </c>
      <c r="C3" s="1" t="s">
        <v>593</v>
      </c>
      <c r="D3" s="1" t="s">
        <v>600</v>
      </c>
      <c r="E3" s="1" t="s">
        <v>170</v>
      </c>
      <c r="F3" s="1" t="s">
        <v>669</v>
      </c>
    </row>
    <row r="4" spans="1:6" x14ac:dyDescent="0.3">
      <c r="A4" s="3" t="s">
        <v>1541</v>
      </c>
      <c r="B4" s="3" t="s">
        <v>402</v>
      </c>
      <c r="C4" s="3">
        <v>0</v>
      </c>
      <c r="D4" s="3">
        <v>0</v>
      </c>
      <c r="E4" s="3">
        <v>1</v>
      </c>
      <c r="F4" s="3">
        <v>0</v>
      </c>
    </row>
    <row r="5" spans="1:6" x14ac:dyDescent="0.3">
      <c r="A5" s="3" t="s">
        <v>1541</v>
      </c>
      <c r="B5" s="3" t="s">
        <v>545</v>
      </c>
      <c r="C5" s="3">
        <v>0</v>
      </c>
      <c r="D5" s="3">
        <v>0</v>
      </c>
      <c r="E5" s="3">
        <v>1</v>
      </c>
      <c r="F5" s="3">
        <v>0</v>
      </c>
    </row>
    <row r="6" spans="1:6" x14ac:dyDescent="0.3">
      <c r="A6" s="3" t="s">
        <v>1541</v>
      </c>
      <c r="B6" s="3" t="s">
        <v>657</v>
      </c>
      <c r="C6" s="3">
        <v>1</v>
      </c>
      <c r="D6" s="3">
        <v>0</v>
      </c>
      <c r="E6" s="3">
        <v>0</v>
      </c>
      <c r="F6" s="3">
        <v>0</v>
      </c>
    </row>
    <row r="7" spans="1:6" x14ac:dyDescent="0.3">
      <c r="A7" s="3" t="s">
        <v>1541</v>
      </c>
      <c r="B7" s="3" t="s">
        <v>987</v>
      </c>
      <c r="C7" s="3">
        <v>0</v>
      </c>
      <c r="D7" s="3">
        <v>0</v>
      </c>
      <c r="E7" s="3">
        <v>0</v>
      </c>
      <c r="F7" s="3">
        <v>1</v>
      </c>
    </row>
    <row r="8" spans="1:6" x14ac:dyDescent="0.3">
      <c r="A8" s="3" t="s">
        <v>1541</v>
      </c>
      <c r="B8" s="3" t="s">
        <v>1364</v>
      </c>
      <c r="C8" s="3">
        <v>0</v>
      </c>
      <c r="D8" s="3">
        <v>0</v>
      </c>
      <c r="E8" s="3">
        <v>0</v>
      </c>
      <c r="F8" s="3">
        <v>1</v>
      </c>
    </row>
    <row r="9" spans="1:6" x14ac:dyDescent="0.3">
      <c r="A9" s="3" t="s">
        <v>1541</v>
      </c>
      <c r="B9" s="3" t="s">
        <v>1139</v>
      </c>
      <c r="C9" s="3">
        <v>0</v>
      </c>
      <c r="D9" s="3">
        <v>0</v>
      </c>
      <c r="E9" s="3">
        <v>0</v>
      </c>
      <c r="F9" s="3">
        <v>1</v>
      </c>
    </row>
    <row r="10" spans="1:6" x14ac:dyDescent="0.3">
      <c r="A10" s="3" t="s">
        <v>1541</v>
      </c>
      <c r="B10" s="3" t="s">
        <v>993</v>
      </c>
      <c r="C10" s="3">
        <v>0</v>
      </c>
      <c r="D10" s="3">
        <v>0</v>
      </c>
      <c r="E10" s="3">
        <v>0</v>
      </c>
      <c r="F10" s="3">
        <v>1</v>
      </c>
    </row>
    <row r="11" spans="1:6" x14ac:dyDescent="0.3">
      <c r="A11" s="3" t="s">
        <v>1541</v>
      </c>
      <c r="B11" s="3" t="s">
        <v>176</v>
      </c>
      <c r="C11" s="3">
        <v>0</v>
      </c>
      <c r="D11" s="3">
        <v>0</v>
      </c>
      <c r="E11" s="3">
        <v>1</v>
      </c>
      <c r="F11" s="3">
        <v>0</v>
      </c>
    </row>
    <row r="12" spans="1:6" x14ac:dyDescent="0.3">
      <c r="A12" s="3" t="s">
        <v>1541</v>
      </c>
      <c r="B12" s="3" t="s">
        <v>286</v>
      </c>
      <c r="C12" s="3">
        <v>0</v>
      </c>
      <c r="D12" s="3">
        <v>0</v>
      </c>
      <c r="E12" s="3">
        <v>1</v>
      </c>
      <c r="F12" s="3">
        <v>0</v>
      </c>
    </row>
    <row r="13" spans="1:6" x14ac:dyDescent="0.3">
      <c r="A13" s="3" t="s">
        <v>1541</v>
      </c>
      <c r="B13" s="3" t="s">
        <v>900</v>
      </c>
      <c r="C13" s="3">
        <v>0</v>
      </c>
      <c r="D13" s="3">
        <v>0</v>
      </c>
      <c r="E13" s="3">
        <v>0</v>
      </c>
      <c r="F13" s="3">
        <v>1</v>
      </c>
    </row>
    <row r="14" spans="1:6" x14ac:dyDescent="0.3">
      <c r="A14" s="3" t="s">
        <v>1541</v>
      </c>
      <c r="B14" s="3" t="s">
        <v>734</v>
      </c>
      <c r="C14" s="3">
        <v>0</v>
      </c>
      <c r="D14" s="3">
        <v>0</v>
      </c>
      <c r="E14" s="3">
        <v>0</v>
      </c>
      <c r="F14" s="3">
        <v>1</v>
      </c>
    </row>
    <row r="15" spans="1:6" x14ac:dyDescent="0.3">
      <c r="A15" s="3" t="s">
        <v>1541</v>
      </c>
      <c r="B15" s="3" t="s">
        <v>1071</v>
      </c>
      <c r="C15" s="3">
        <v>0</v>
      </c>
      <c r="D15" s="3">
        <v>0</v>
      </c>
      <c r="E15" s="3">
        <v>0</v>
      </c>
      <c r="F15" s="3">
        <v>1</v>
      </c>
    </row>
    <row r="16" spans="1:6" x14ac:dyDescent="0.3">
      <c r="A16" s="3" t="s">
        <v>1541</v>
      </c>
      <c r="B16" s="3" t="s">
        <v>1395</v>
      </c>
      <c r="C16" s="3">
        <v>0</v>
      </c>
      <c r="D16" s="3">
        <v>0</v>
      </c>
      <c r="E16" s="3">
        <v>0</v>
      </c>
      <c r="F16" s="3">
        <v>1</v>
      </c>
    </row>
    <row r="17" spans="1:6" x14ac:dyDescent="0.3">
      <c r="A17" s="3" t="s">
        <v>1541</v>
      </c>
      <c r="B17" s="3" t="s">
        <v>930</v>
      </c>
      <c r="C17" s="3">
        <v>0</v>
      </c>
      <c r="D17" s="3">
        <v>0</v>
      </c>
      <c r="E17" s="3">
        <v>0</v>
      </c>
      <c r="F17" s="3">
        <v>1</v>
      </c>
    </row>
    <row r="18" spans="1:6" x14ac:dyDescent="0.3">
      <c r="A18" s="3" t="s">
        <v>1541</v>
      </c>
      <c r="B18" s="3" t="s">
        <v>1247</v>
      </c>
      <c r="C18" s="3">
        <v>0</v>
      </c>
      <c r="D18" s="3">
        <v>0</v>
      </c>
      <c r="E18" s="3">
        <v>0</v>
      </c>
      <c r="F18" s="3">
        <v>1</v>
      </c>
    </row>
    <row r="19" spans="1:6" x14ac:dyDescent="0.3">
      <c r="A19" s="3" t="s">
        <v>1541</v>
      </c>
      <c r="B19" s="3" t="s">
        <v>954</v>
      </c>
      <c r="C19" s="3">
        <v>0</v>
      </c>
      <c r="D19" s="3">
        <v>0</v>
      </c>
      <c r="E19" s="3">
        <v>0</v>
      </c>
      <c r="F19" s="3">
        <v>1</v>
      </c>
    </row>
    <row r="20" spans="1:6" x14ac:dyDescent="0.3">
      <c r="A20" s="3" t="s">
        <v>1541</v>
      </c>
      <c r="B20" s="3" t="s">
        <v>631</v>
      </c>
      <c r="C20" s="3">
        <v>1</v>
      </c>
      <c r="D20" s="3">
        <v>0</v>
      </c>
      <c r="E20" s="3">
        <v>0</v>
      </c>
      <c r="F20" s="3">
        <v>0</v>
      </c>
    </row>
    <row r="21" spans="1:6" x14ac:dyDescent="0.3">
      <c r="A21" s="3" t="s">
        <v>1541</v>
      </c>
      <c r="B21" s="3" t="s">
        <v>431</v>
      </c>
      <c r="C21" s="3">
        <v>0</v>
      </c>
      <c r="D21" s="3">
        <v>0</v>
      </c>
      <c r="E21" s="3">
        <v>1</v>
      </c>
      <c r="F21" s="3">
        <v>0</v>
      </c>
    </row>
    <row r="22" spans="1:6" x14ac:dyDescent="0.3">
      <c r="A22" s="3" t="s">
        <v>1541</v>
      </c>
      <c r="B22" s="3" t="s">
        <v>1403</v>
      </c>
      <c r="C22" s="3">
        <v>0</v>
      </c>
      <c r="D22" s="3">
        <v>0</v>
      </c>
      <c r="E22" s="3">
        <v>0</v>
      </c>
      <c r="F22" s="3">
        <v>1</v>
      </c>
    </row>
    <row r="23" spans="1:6" x14ac:dyDescent="0.3">
      <c r="A23" s="3" t="s">
        <v>1541</v>
      </c>
      <c r="B23" s="3" t="s">
        <v>1198</v>
      </c>
      <c r="C23" s="3">
        <v>0</v>
      </c>
      <c r="D23" s="3">
        <v>0</v>
      </c>
      <c r="E23" s="3">
        <v>0</v>
      </c>
      <c r="F23" s="3">
        <v>1</v>
      </c>
    </row>
    <row r="24" spans="1:6" x14ac:dyDescent="0.3">
      <c r="A24" s="3" t="s">
        <v>1541</v>
      </c>
      <c r="B24" s="3" t="s">
        <v>1082</v>
      </c>
      <c r="C24" s="3">
        <v>0</v>
      </c>
      <c r="D24" s="3">
        <v>0</v>
      </c>
      <c r="E24" s="3">
        <v>0</v>
      </c>
      <c r="F24" s="3">
        <v>1</v>
      </c>
    </row>
    <row r="25" spans="1:6" x14ac:dyDescent="0.3">
      <c r="A25" s="3" t="s">
        <v>1541</v>
      </c>
      <c r="B25" s="3" t="s">
        <v>1293</v>
      </c>
      <c r="C25" s="3">
        <v>0</v>
      </c>
      <c r="D25" s="3">
        <v>0</v>
      </c>
      <c r="E25" s="3">
        <v>0</v>
      </c>
      <c r="F25" s="3">
        <v>1</v>
      </c>
    </row>
    <row r="26" spans="1:6" x14ac:dyDescent="0.3">
      <c r="A26" s="3" t="s">
        <v>1541</v>
      </c>
      <c r="B26" s="3" t="s">
        <v>1033</v>
      </c>
      <c r="C26" s="3">
        <v>0</v>
      </c>
      <c r="D26" s="3">
        <v>0</v>
      </c>
      <c r="E26" s="3">
        <v>0</v>
      </c>
      <c r="F26" s="3">
        <v>1</v>
      </c>
    </row>
    <row r="27" spans="1:6" x14ac:dyDescent="0.3">
      <c r="A27" s="3" t="s">
        <v>1541</v>
      </c>
      <c r="B27" s="3" t="s">
        <v>1188</v>
      </c>
      <c r="C27" s="3">
        <v>0</v>
      </c>
      <c r="D27" s="3">
        <v>0</v>
      </c>
      <c r="E27" s="3">
        <v>0</v>
      </c>
      <c r="F27" s="3">
        <v>1</v>
      </c>
    </row>
    <row r="28" spans="1:6" x14ac:dyDescent="0.3">
      <c r="A28" s="3" t="s">
        <v>1541</v>
      </c>
      <c r="B28" s="3" t="s">
        <v>1074</v>
      </c>
      <c r="C28" s="3">
        <v>0</v>
      </c>
      <c r="D28" s="3">
        <v>0</v>
      </c>
      <c r="E28" s="3">
        <v>0</v>
      </c>
      <c r="F28" s="3">
        <v>1</v>
      </c>
    </row>
    <row r="29" spans="1:6" x14ac:dyDescent="0.3">
      <c r="A29" s="3" t="s">
        <v>1541</v>
      </c>
      <c r="B29" s="3" t="s">
        <v>689</v>
      </c>
      <c r="C29" s="3">
        <v>0</v>
      </c>
      <c r="D29" s="3">
        <v>0</v>
      </c>
      <c r="E29" s="3">
        <v>0</v>
      </c>
      <c r="F29" s="3">
        <v>1</v>
      </c>
    </row>
    <row r="30" spans="1:6" x14ac:dyDescent="0.3">
      <c r="A30" s="3" t="s">
        <v>1541</v>
      </c>
      <c r="B30" s="3" t="s">
        <v>1272</v>
      </c>
      <c r="C30" s="3">
        <v>0</v>
      </c>
      <c r="D30" s="3">
        <v>0</v>
      </c>
      <c r="E30" s="3">
        <v>0</v>
      </c>
      <c r="F30" s="3">
        <v>1</v>
      </c>
    </row>
    <row r="31" spans="1:6" x14ac:dyDescent="0.3">
      <c r="A31" s="3" t="s">
        <v>1541</v>
      </c>
      <c r="B31" s="3" t="s">
        <v>541</v>
      </c>
      <c r="C31" s="3">
        <v>0</v>
      </c>
      <c r="D31" s="3">
        <v>0</v>
      </c>
      <c r="E31" s="3">
        <v>1</v>
      </c>
      <c r="F31" s="3">
        <v>0</v>
      </c>
    </row>
    <row r="32" spans="1:6" x14ac:dyDescent="0.3">
      <c r="A32" s="3" t="s">
        <v>1541</v>
      </c>
      <c r="B32" s="3" t="s">
        <v>1079</v>
      </c>
      <c r="C32" s="3">
        <v>0</v>
      </c>
      <c r="D32" s="3">
        <v>0</v>
      </c>
      <c r="E32" s="3">
        <v>0</v>
      </c>
      <c r="F32" s="3">
        <v>1</v>
      </c>
    </row>
    <row r="33" spans="1:6" x14ac:dyDescent="0.3">
      <c r="A33" s="3" t="s">
        <v>1541</v>
      </c>
      <c r="B33" s="3" t="s">
        <v>208</v>
      </c>
      <c r="C33" s="3">
        <v>0</v>
      </c>
      <c r="D33" s="3">
        <v>0</v>
      </c>
      <c r="E33" s="3">
        <v>1</v>
      </c>
      <c r="F33" s="3">
        <v>0</v>
      </c>
    </row>
    <row r="34" spans="1:6" x14ac:dyDescent="0.3">
      <c r="A34" s="3" t="s">
        <v>1541</v>
      </c>
      <c r="B34" s="3" t="s">
        <v>1419</v>
      </c>
      <c r="C34" s="3">
        <v>0</v>
      </c>
      <c r="D34" s="3">
        <v>0</v>
      </c>
      <c r="E34" s="3">
        <v>0</v>
      </c>
      <c r="F34" s="3">
        <v>1</v>
      </c>
    </row>
    <row r="35" spans="1:6" x14ac:dyDescent="0.3">
      <c r="A35" s="3" t="s">
        <v>1541</v>
      </c>
      <c r="B35" s="3" t="s">
        <v>925</v>
      </c>
      <c r="C35" s="3">
        <v>0</v>
      </c>
      <c r="D35" s="3">
        <v>0</v>
      </c>
      <c r="E35" s="3">
        <v>0</v>
      </c>
      <c r="F35" s="3">
        <v>1</v>
      </c>
    </row>
    <row r="36" spans="1:6" x14ac:dyDescent="0.3">
      <c r="A36" s="3" t="s">
        <v>1541</v>
      </c>
      <c r="B36" s="3" t="s">
        <v>1062</v>
      </c>
      <c r="C36" s="3">
        <v>0</v>
      </c>
      <c r="D36" s="3">
        <v>0</v>
      </c>
      <c r="E36" s="3">
        <v>0</v>
      </c>
      <c r="F36" s="3">
        <v>1</v>
      </c>
    </row>
    <row r="37" spans="1:6" x14ac:dyDescent="0.3">
      <c r="A37" s="3" t="s">
        <v>1541</v>
      </c>
      <c r="B37" s="3" t="s">
        <v>852</v>
      </c>
      <c r="C37" s="3">
        <v>0</v>
      </c>
      <c r="D37" s="3">
        <v>0</v>
      </c>
      <c r="E37" s="3">
        <v>0</v>
      </c>
      <c r="F37" s="3">
        <v>1</v>
      </c>
    </row>
    <row r="38" spans="1:6" x14ac:dyDescent="0.3">
      <c r="A38" s="3" t="s">
        <v>1541</v>
      </c>
      <c r="B38" s="3" t="s">
        <v>1007</v>
      </c>
      <c r="C38" s="3">
        <v>0</v>
      </c>
      <c r="D38" s="3">
        <v>0</v>
      </c>
      <c r="E38" s="3">
        <v>0</v>
      </c>
      <c r="F38" s="3">
        <v>1</v>
      </c>
    </row>
    <row r="39" spans="1:6" x14ac:dyDescent="0.3">
      <c r="A39" s="3" t="s">
        <v>1541</v>
      </c>
      <c r="B39" s="3" t="s">
        <v>935</v>
      </c>
      <c r="C39" s="3">
        <v>0</v>
      </c>
      <c r="D39" s="3">
        <v>0</v>
      </c>
      <c r="E39" s="3">
        <v>0</v>
      </c>
      <c r="F39" s="3">
        <v>1</v>
      </c>
    </row>
    <row r="40" spans="1:6" x14ac:dyDescent="0.3">
      <c r="A40" s="3" t="s">
        <v>1541</v>
      </c>
      <c r="B40" s="3" t="s">
        <v>653</v>
      </c>
      <c r="C40" s="3">
        <v>0</v>
      </c>
      <c r="D40" s="3">
        <v>1</v>
      </c>
      <c r="E40" s="3">
        <v>0</v>
      </c>
      <c r="F40" s="3">
        <v>0</v>
      </c>
    </row>
    <row r="41" spans="1:6" x14ac:dyDescent="0.3">
      <c r="A41" s="3" t="s">
        <v>1541</v>
      </c>
      <c r="B41" s="3" t="s">
        <v>681</v>
      </c>
      <c r="C41" s="3">
        <v>0</v>
      </c>
      <c r="D41" s="3">
        <v>0</v>
      </c>
      <c r="E41" s="3">
        <v>0</v>
      </c>
      <c r="F41" s="3">
        <v>1</v>
      </c>
    </row>
    <row r="42" spans="1:6" x14ac:dyDescent="0.3">
      <c r="A42" s="3" t="s">
        <v>1541</v>
      </c>
      <c r="B42" s="3" t="s">
        <v>907</v>
      </c>
      <c r="C42" s="3">
        <v>0</v>
      </c>
      <c r="D42" s="3">
        <v>0</v>
      </c>
      <c r="E42" s="3">
        <v>0</v>
      </c>
      <c r="F42" s="3">
        <v>1</v>
      </c>
    </row>
    <row r="43" spans="1:6" x14ac:dyDescent="0.3">
      <c r="A43" s="3" t="s">
        <v>1541</v>
      </c>
      <c r="B43" s="3" t="s">
        <v>676</v>
      </c>
      <c r="C43" s="3">
        <v>0</v>
      </c>
      <c r="D43" s="3">
        <v>0</v>
      </c>
      <c r="E43" s="3">
        <v>0</v>
      </c>
      <c r="F43" s="3">
        <v>1</v>
      </c>
    </row>
    <row r="44" spans="1:6" x14ac:dyDescent="0.3">
      <c r="A44" s="3" t="s">
        <v>1541</v>
      </c>
      <c r="B44" s="3" t="s">
        <v>267</v>
      </c>
      <c r="C44" s="3">
        <v>0</v>
      </c>
      <c r="D44" s="3">
        <v>0</v>
      </c>
      <c r="E44" s="3">
        <v>1</v>
      </c>
      <c r="F44" s="3">
        <v>0</v>
      </c>
    </row>
    <row r="45" spans="1:6" x14ac:dyDescent="0.3">
      <c r="A45" s="3" t="s">
        <v>1541</v>
      </c>
      <c r="B45" s="3" t="s">
        <v>604</v>
      </c>
      <c r="C45" s="3">
        <v>1</v>
      </c>
      <c r="D45" s="3">
        <v>0</v>
      </c>
      <c r="E45" s="3">
        <v>0</v>
      </c>
      <c r="F45" s="3">
        <v>0</v>
      </c>
    </row>
    <row r="46" spans="1:6" x14ac:dyDescent="0.3">
      <c r="A46" s="3" t="s">
        <v>1541</v>
      </c>
      <c r="B46" s="3" t="s">
        <v>1353</v>
      </c>
      <c r="C46" s="3">
        <v>0</v>
      </c>
      <c r="D46" s="3">
        <v>0</v>
      </c>
      <c r="E46" s="3">
        <v>0</v>
      </c>
      <c r="F46" s="3">
        <v>1</v>
      </c>
    </row>
    <row r="47" spans="1:6" x14ac:dyDescent="0.3">
      <c r="A47" s="3" t="s">
        <v>1541</v>
      </c>
      <c r="B47" s="3" t="s">
        <v>457</v>
      </c>
      <c r="C47" s="3">
        <v>0</v>
      </c>
      <c r="D47" s="3">
        <v>0</v>
      </c>
      <c r="E47" s="3">
        <v>1</v>
      </c>
      <c r="F47" s="3">
        <v>0</v>
      </c>
    </row>
    <row r="48" spans="1:6" x14ac:dyDescent="0.3">
      <c r="A48" s="3" t="s">
        <v>1541</v>
      </c>
      <c r="B48" s="3" t="s">
        <v>452</v>
      </c>
      <c r="C48" s="3">
        <v>0</v>
      </c>
      <c r="D48" s="3">
        <v>0</v>
      </c>
      <c r="E48" s="3">
        <v>1</v>
      </c>
      <c r="F48" s="3">
        <v>0</v>
      </c>
    </row>
    <row r="49" spans="1:6" x14ac:dyDescent="0.3">
      <c r="A49" s="3" t="s">
        <v>1541</v>
      </c>
      <c r="B49" s="3" t="s">
        <v>194</v>
      </c>
      <c r="C49" s="3">
        <v>0</v>
      </c>
      <c r="D49" s="3">
        <v>0</v>
      </c>
      <c r="E49" s="3">
        <v>1</v>
      </c>
      <c r="F49" s="3">
        <v>0</v>
      </c>
    </row>
    <row r="50" spans="1:6" x14ac:dyDescent="0.3">
      <c r="A50" s="3" t="s">
        <v>1541</v>
      </c>
      <c r="B50" s="3" t="s">
        <v>1077</v>
      </c>
      <c r="C50" s="3">
        <v>0</v>
      </c>
      <c r="D50" s="3">
        <v>0</v>
      </c>
      <c r="E50" s="3">
        <v>0</v>
      </c>
      <c r="F50" s="3">
        <v>1</v>
      </c>
    </row>
    <row r="51" spans="1:6" x14ac:dyDescent="0.3">
      <c r="A51" s="3" t="s">
        <v>1541</v>
      </c>
      <c r="B51" s="3" t="s">
        <v>1257</v>
      </c>
      <c r="C51" s="3">
        <v>0</v>
      </c>
      <c r="D51" s="3">
        <v>0</v>
      </c>
      <c r="E51" s="3">
        <v>0</v>
      </c>
      <c r="F51" s="3">
        <v>1</v>
      </c>
    </row>
    <row r="52" spans="1:6" x14ac:dyDescent="0.3">
      <c r="A52" s="3" t="s">
        <v>1541</v>
      </c>
      <c r="B52" s="3" t="s">
        <v>277</v>
      </c>
      <c r="C52" s="3">
        <v>0</v>
      </c>
      <c r="D52" s="3">
        <v>0</v>
      </c>
      <c r="E52" s="3">
        <v>1</v>
      </c>
      <c r="F52" s="3">
        <v>0</v>
      </c>
    </row>
    <row r="53" spans="1:6" x14ac:dyDescent="0.3">
      <c r="A53" s="3" t="s">
        <v>1541</v>
      </c>
      <c r="B53" s="3" t="s">
        <v>969</v>
      </c>
      <c r="C53" s="3">
        <v>0</v>
      </c>
      <c r="D53" s="3">
        <v>0</v>
      </c>
      <c r="E53" s="3">
        <v>0</v>
      </c>
      <c r="F53" s="3">
        <v>1</v>
      </c>
    </row>
    <row r="54" spans="1:6" x14ac:dyDescent="0.3">
      <c r="A54" s="3" t="s">
        <v>1541</v>
      </c>
      <c r="B54" s="3" t="s">
        <v>233</v>
      </c>
      <c r="C54" s="3">
        <v>0</v>
      </c>
      <c r="D54" s="3">
        <v>0</v>
      </c>
      <c r="E54" s="3">
        <v>1</v>
      </c>
      <c r="F54" s="3">
        <v>0</v>
      </c>
    </row>
    <row r="55" spans="1:6" x14ac:dyDescent="0.3">
      <c r="A55" s="3" t="s">
        <v>1541</v>
      </c>
      <c r="B55" s="3" t="s">
        <v>1203</v>
      </c>
      <c r="C55" s="3">
        <v>0</v>
      </c>
      <c r="D55" s="3">
        <v>0</v>
      </c>
      <c r="E55" s="3">
        <v>0</v>
      </c>
      <c r="F55" s="3">
        <v>1</v>
      </c>
    </row>
    <row r="56" spans="1:6" x14ac:dyDescent="0.3">
      <c r="A56" s="3" t="s">
        <v>1541</v>
      </c>
      <c r="B56" s="3" t="s">
        <v>821</v>
      </c>
      <c r="C56" s="3">
        <v>0</v>
      </c>
      <c r="D56" s="3">
        <v>0</v>
      </c>
      <c r="E56" s="3">
        <v>0</v>
      </c>
      <c r="F56" s="3">
        <v>1</v>
      </c>
    </row>
    <row r="57" spans="1:6" x14ac:dyDescent="0.3">
      <c r="A57" s="3" t="s">
        <v>1541</v>
      </c>
      <c r="B57" s="3" t="s">
        <v>586</v>
      </c>
      <c r="C57" s="3">
        <v>0</v>
      </c>
      <c r="D57" s="3">
        <v>0</v>
      </c>
      <c r="E57" s="3">
        <v>1</v>
      </c>
      <c r="F57" s="3">
        <v>0</v>
      </c>
    </row>
    <row r="58" spans="1:6" x14ac:dyDescent="0.3">
      <c r="A58" s="3" t="s">
        <v>1541</v>
      </c>
      <c r="B58" s="3" t="s">
        <v>777</v>
      </c>
      <c r="C58" s="3">
        <v>0</v>
      </c>
      <c r="D58" s="3">
        <v>0</v>
      </c>
      <c r="E58" s="3">
        <v>0</v>
      </c>
      <c r="F58" s="3">
        <v>1</v>
      </c>
    </row>
    <row r="59" spans="1:6" x14ac:dyDescent="0.3">
      <c r="A59" s="3" t="s">
        <v>1541</v>
      </c>
      <c r="B59" s="3" t="s">
        <v>890</v>
      </c>
      <c r="C59" s="3">
        <v>0</v>
      </c>
      <c r="D59" s="3">
        <v>0</v>
      </c>
      <c r="E59" s="3">
        <v>0</v>
      </c>
      <c r="F59" s="3">
        <v>1</v>
      </c>
    </row>
    <row r="60" spans="1:6" x14ac:dyDescent="0.3">
      <c r="A60" s="3" t="s">
        <v>1541</v>
      </c>
      <c r="B60" s="3" t="s">
        <v>884</v>
      </c>
      <c r="C60" s="3">
        <v>0</v>
      </c>
      <c r="D60" s="3">
        <v>0</v>
      </c>
      <c r="E60" s="3">
        <v>0</v>
      </c>
      <c r="F60" s="3">
        <v>1</v>
      </c>
    </row>
    <row r="61" spans="1:6" x14ac:dyDescent="0.3">
      <c r="A61" s="3" t="s">
        <v>1541</v>
      </c>
      <c r="B61" s="3" t="s">
        <v>803</v>
      </c>
      <c r="C61" s="3">
        <v>0</v>
      </c>
      <c r="D61" s="3">
        <v>0</v>
      </c>
      <c r="E61" s="3">
        <v>0</v>
      </c>
      <c r="F61" s="3">
        <v>1</v>
      </c>
    </row>
    <row r="62" spans="1:6" x14ac:dyDescent="0.3">
      <c r="A62" s="3" t="s">
        <v>1541</v>
      </c>
      <c r="B62" s="3" t="s">
        <v>553</v>
      </c>
      <c r="C62" s="3">
        <v>0</v>
      </c>
      <c r="D62" s="3">
        <v>0</v>
      </c>
      <c r="E62" s="3">
        <v>1</v>
      </c>
      <c r="F62" s="3">
        <v>0</v>
      </c>
    </row>
    <row r="63" spans="1:6" x14ac:dyDescent="0.3">
      <c r="A63" s="3" t="s">
        <v>1541</v>
      </c>
      <c r="B63" s="3" t="s">
        <v>258</v>
      </c>
      <c r="C63" s="3">
        <v>0</v>
      </c>
      <c r="D63" s="3">
        <v>0</v>
      </c>
      <c r="E63" s="3">
        <v>1</v>
      </c>
      <c r="F63" s="3">
        <v>0</v>
      </c>
    </row>
    <row r="64" spans="1:6" x14ac:dyDescent="0.3">
      <c r="A64" s="3" t="s">
        <v>1541</v>
      </c>
      <c r="B64" s="3" t="s">
        <v>313</v>
      </c>
      <c r="C64" s="3">
        <v>0</v>
      </c>
      <c r="D64" s="3">
        <v>0</v>
      </c>
      <c r="E64" s="3">
        <v>1</v>
      </c>
      <c r="F64" s="3">
        <v>0</v>
      </c>
    </row>
    <row r="65" spans="1:6" x14ac:dyDescent="0.3">
      <c r="A65" s="3" t="s">
        <v>1541</v>
      </c>
      <c r="B65" s="3" t="s">
        <v>904</v>
      </c>
      <c r="C65" s="3">
        <v>0</v>
      </c>
      <c r="D65" s="3">
        <v>0</v>
      </c>
      <c r="E65" s="3">
        <v>0</v>
      </c>
      <c r="F65" s="3">
        <v>1</v>
      </c>
    </row>
    <row r="66" spans="1:6" x14ac:dyDescent="0.3">
      <c r="A66" s="3" t="s">
        <v>1541</v>
      </c>
      <c r="B66" s="3" t="s">
        <v>867</v>
      </c>
      <c r="C66" s="3">
        <v>0</v>
      </c>
      <c r="D66" s="3">
        <v>0</v>
      </c>
      <c r="E66" s="3">
        <v>0</v>
      </c>
      <c r="F66" s="3">
        <v>1</v>
      </c>
    </row>
    <row r="67" spans="1:6" x14ac:dyDescent="0.3">
      <c r="A67" s="3" t="s">
        <v>1541</v>
      </c>
      <c r="B67" s="3" t="s">
        <v>399</v>
      </c>
      <c r="C67" s="3">
        <v>0</v>
      </c>
      <c r="D67" s="3">
        <v>0</v>
      </c>
      <c r="E67" s="3">
        <v>1</v>
      </c>
      <c r="F67" s="3">
        <v>0</v>
      </c>
    </row>
    <row r="68" spans="1:6" x14ac:dyDescent="0.3">
      <c r="A68" s="3" t="s">
        <v>1541</v>
      </c>
      <c r="B68" s="3" t="s">
        <v>199</v>
      </c>
      <c r="C68" s="3">
        <v>0</v>
      </c>
      <c r="D68" s="3">
        <v>0</v>
      </c>
      <c r="E68" s="3">
        <v>1</v>
      </c>
      <c r="F68" s="3">
        <v>0</v>
      </c>
    </row>
    <row r="69" spans="1:6" x14ac:dyDescent="0.3">
      <c r="A69" s="3" t="s">
        <v>1541</v>
      </c>
      <c r="B69" s="3" t="s">
        <v>1266</v>
      </c>
      <c r="C69" s="3">
        <v>0</v>
      </c>
      <c r="D69" s="3">
        <v>0</v>
      </c>
      <c r="E69" s="3">
        <v>0</v>
      </c>
      <c r="F69" s="3">
        <v>1</v>
      </c>
    </row>
    <row r="70" spans="1:6" x14ac:dyDescent="0.3">
      <c r="A70" s="3" t="s">
        <v>1541</v>
      </c>
      <c r="B70" s="3" t="s">
        <v>621</v>
      </c>
      <c r="C70" s="3">
        <v>0</v>
      </c>
      <c r="D70" s="3">
        <v>1</v>
      </c>
      <c r="E70" s="3">
        <v>0</v>
      </c>
      <c r="F70" s="3">
        <v>0</v>
      </c>
    </row>
    <row r="71" spans="1:6" x14ac:dyDescent="0.3">
      <c r="A71" s="3" t="s">
        <v>1541</v>
      </c>
      <c r="B71" s="3" t="s">
        <v>1085</v>
      </c>
      <c r="C71" s="3">
        <v>0</v>
      </c>
      <c r="D71" s="3">
        <v>0</v>
      </c>
      <c r="E71" s="3">
        <v>0</v>
      </c>
      <c r="F71" s="3">
        <v>1</v>
      </c>
    </row>
    <row r="72" spans="1:6" x14ac:dyDescent="0.3">
      <c r="A72" s="3" t="s">
        <v>1541</v>
      </c>
      <c r="B72" s="3" t="s">
        <v>826</v>
      </c>
      <c r="C72" s="3">
        <v>0</v>
      </c>
      <c r="D72" s="3">
        <v>0</v>
      </c>
      <c r="E72" s="3">
        <v>0</v>
      </c>
      <c r="F72" s="3">
        <v>1</v>
      </c>
    </row>
    <row r="73" spans="1:6" x14ac:dyDescent="0.3">
      <c r="A73" s="3" t="s">
        <v>1541</v>
      </c>
      <c r="B73" s="3" t="s">
        <v>784</v>
      </c>
      <c r="C73" s="3">
        <v>0</v>
      </c>
      <c r="D73" s="3">
        <v>0</v>
      </c>
      <c r="E73" s="3">
        <v>0</v>
      </c>
      <c r="F73" s="3">
        <v>1</v>
      </c>
    </row>
    <row r="74" spans="1:6" x14ac:dyDescent="0.3">
      <c r="A74" s="3" t="s">
        <v>1541</v>
      </c>
      <c r="B74" s="3" t="s">
        <v>390</v>
      </c>
      <c r="C74" s="3">
        <v>0</v>
      </c>
      <c r="D74" s="3">
        <v>0</v>
      </c>
      <c r="E74" s="3">
        <v>1</v>
      </c>
      <c r="F74" s="3">
        <v>0</v>
      </c>
    </row>
    <row r="75" spans="1:6" x14ac:dyDescent="0.3">
      <c r="A75" s="3" t="s">
        <v>1541</v>
      </c>
      <c r="B75" s="3" t="s">
        <v>897</v>
      </c>
      <c r="C75" s="3">
        <v>0</v>
      </c>
      <c r="D75" s="3">
        <v>0</v>
      </c>
      <c r="E75" s="3">
        <v>0</v>
      </c>
      <c r="F75" s="3">
        <v>1</v>
      </c>
    </row>
    <row r="76" spans="1:6" x14ac:dyDescent="0.3">
      <c r="A76" s="3" t="s">
        <v>1541</v>
      </c>
      <c r="B76" s="3" t="s">
        <v>778</v>
      </c>
      <c r="C76" s="3">
        <v>0</v>
      </c>
      <c r="D76" s="3">
        <v>0</v>
      </c>
      <c r="E76" s="3">
        <v>0</v>
      </c>
      <c r="F76" s="3">
        <v>1</v>
      </c>
    </row>
    <row r="77" spans="1:6" x14ac:dyDescent="0.3">
      <c r="A77" s="3" t="s">
        <v>1541</v>
      </c>
      <c r="B77" s="3" t="s">
        <v>334</v>
      </c>
      <c r="C77" s="3">
        <v>0</v>
      </c>
      <c r="D77" s="3">
        <v>0</v>
      </c>
      <c r="E77" s="3">
        <v>1</v>
      </c>
      <c r="F77" s="3">
        <v>0</v>
      </c>
    </row>
    <row r="78" spans="1:6" x14ac:dyDescent="0.3">
      <c r="A78" s="3" t="s">
        <v>1541</v>
      </c>
      <c r="B78" s="3" t="s">
        <v>983</v>
      </c>
      <c r="C78" s="3">
        <v>0</v>
      </c>
      <c r="D78" s="3">
        <v>0</v>
      </c>
      <c r="E78" s="3">
        <v>0</v>
      </c>
      <c r="F78" s="3">
        <v>1</v>
      </c>
    </row>
    <row r="79" spans="1:6" x14ac:dyDescent="0.3">
      <c r="A79" s="3" t="s">
        <v>1541</v>
      </c>
      <c r="B79" s="3" t="s">
        <v>1369</v>
      </c>
      <c r="C79" s="3">
        <v>0</v>
      </c>
      <c r="D79" s="3">
        <v>0</v>
      </c>
      <c r="E79" s="3">
        <v>0</v>
      </c>
      <c r="F79" s="3">
        <v>1</v>
      </c>
    </row>
    <row r="80" spans="1:6" x14ac:dyDescent="0.3">
      <c r="A80" s="3" t="s">
        <v>1541</v>
      </c>
      <c r="B80" s="3" t="s">
        <v>1043</v>
      </c>
      <c r="C80" s="3">
        <v>0</v>
      </c>
      <c r="D80" s="3">
        <v>0</v>
      </c>
      <c r="E80" s="3">
        <v>0</v>
      </c>
      <c r="F80" s="3">
        <v>1</v>
      </c>
    </row>
    <row r="81" spans="1:6" x14ac:dyDescent="0.3">
      <c r="A81" s="3" t="s">
        <v>1541</v>
      </c>
      <c r="B81" s="3" t="s">
        <v>759</v>
      </c>
      <c r="C81" s="3">
        <v>0</v>
      </c>
      <c r="D81" s="3">
        <v>0</v>
      </c>
      <c r="E81" s="3">
        <v>0</v>
      </c>
      <c r="F81" s="3">
        <v>1</v>
      </c>
    </row>
    <row r="82" spans="1:6" x14ac:dyDescent="0.3">
      <c r="A82" s="3" t="s">
        <v>1541</v>
      </c>
      <c r="B82" s="3" t="s">
        <v>496</v>
      </c>
      <c r="C82" s="3">
        <v>0</v>
      </c>
      <c r="D82" s="3">
        <v>0</v>
      </c>
      <c r="E82" s="3">
        <v>1</v>
      </c>
      <c r="F82" s="3">
        <v>0</v>
      </c>
    </row>
    <row r="83" spans="1:6" x14ac:dyDescent="0.3">
      <c r="A83" s="3" t="s">
        <v>1541</v>
      </c>
      <c r="B83" s="3" t="s">
        <v>184</v>
      </c>
      <c r="C83" s="3">
        <v>0</v>
      </c>
      <c r="D83" s="3">
        <v>0</v>
      </c>
      <c r="E83" s="3">
        <v>1</v>
      </c>
      <c r="F83" s="3">
        <v>0</v>
      </c>
    </row>
    <row r="84" spans="1:6" x14ac:dyDescent="0.3">
      <c r="A84" s="3" t="s">
        <v>1541</v>
      </c>
      <c r="B84" s="3" t="s">
        <v>1004</v>
      </c>
      <c r="C84" s="3">
        <v>0</v>
      </c>
      <c r="D84" s="3">
        <v>0</v>
      </c>
      <c r="E84" s="3">
        <v>0</v>
      </c>
      <c r="F84" s="3">
        <v>1</v>
      </c>
    </row>
    <row r="85" spans="1:6" x14ac:dyDescent="0.3">
      <c r="A85" s="3" t="s">
        <v>1541</v>
      </c>
      <c r="B85" s="3" t="s">
        <v>875</v>
      </c>
      <c r="C85" s="3">
        <v>0</v>
      </c>
      <c r="D85" s="3">
        <v>0</v>
      </c>
      <c r="E85" s="3">
        <v>0</v>
      </c>
      <c r="F85" s="3">
        <v>1</v>
      </c>
    </row>
    <row r="86" spans="1:6" x14ac:dyDescent="0.3">
      <c r="A86" s="3" t="s">
        <v>1541</v>
      </c>
      <c r="B86" s="3" t="s">
        <v>466</v>
      </c>
      <c r="C86" s="3">
        <v>0</v>
      </c>
      <c r="D86" s="3">
        <v>0</v>
      </c>
      <c r="E86" s="3">
        <v>1</v>
      </c>
      <c r="F86" s="3">
        <v>0</v>
      </c>
    </row>
    <row r="87" spans="1:6" x14ac:dyDescent="0.3">
      <c r="A87" s="3" t="s">
        <v>1541</v>
      </c>
      <c r="B87" s="3" t="s">
        <v>1438</v>
      </c>
      <c r="C87" s="3">
        <v>0</v>
      </c>
      <c r="D87" s="3">
        <v>0</v>
      </c>
      <c r="E87" s="3">
        <v>0</v>
      </c>
      <c r="F87" s="3">
        <v>1</v>
      </c>
    </row>
    <row r="88" spans="1:6" x14ac:dyDescent="0.3">
      <c r="A88" s="3" t="s">
        <v>1541</v>
      </c>
      <c r="B88" s="3" t="s">
        <v>385</v>
      </c>
      <c r="C88" s="3">
        <v>0</v>
      </c>
      <c r="D88" s="3">
        <v>0</v>
      </c>
      <c r="E88" s="3">
        <v>1</v>
      </c>
      <c r="F88" s="3">
        <v>0</v>
      </c>
    </row>
    <row r="89" spans="1:6" x14ac:dyDescent="0.3">
      <c r="A89" s="3" t="s">
        <v>1541</v>
      </c>
      <c r="B89" s="3" t="s">
        <v>614</v>
      </c>
      <c r="C89" s="3">
        <v>0</v>
      </c>
      <c r="D89" s="3">
        <v>1</v>
      </c>
      <c r="E89" s="3">
        <v>0</v>
      </c>
      <c r="F89" s="3">
        <v>0</v>
      </c>
    </row>
    <row r="90" spans="1:6" x14ac:dyDescent="0.3">
      <c r="A90" s="3" t="s">
        <v>1541</v>
      </c>
      <c r="B90" s="3" t="s">
        <v>730</v>
      </c>
      <c r="C90" s="3">
        <v>0</v>
      </c>
      <c r="D90" s="3">
        <v>0</v>
      </c>
      <c r="E90" s="3">
        <v>0</v>
      </c>
      <c r="F90" s="3">
        <v>1</v>
      </c>
    </row>
    <row r="91" spans="1:6" x14ac:dyDescent="0.3">
      <c r="A91" s="3" t="s">
        <v>1541</v>
      </c>
      <c r="B91" s="3" t="s">
        <v>1103</v>
      </c>
      <c r="C91" s="3">
        <v>0</v>
      </c>
      <c r="D91" s="3">
        <v>0</v>
      </c>
      <c r="E91" s="3">
        <v>0</v>
      </c>
      <c r="F91" s="3">
        <v>1</v>
      </c>
    </row>
    <row r="92" spans="1:6" x14ac:dyDescent="0.3">
      <c r="A92" s="3" t="s">
        <v>1541</v>
      </c>
      <c r="B92" s="3" t="s">
        <v>1011</v>
      </c>
      <c r="C92" s="3">
        <v>0</v>
      </c>
      <c r="D92" s="3">
        <v>0</v>
      </c>
      <c r="E92" s="3">
        <v>0</v>
      </c>
      <c r="F92" s="3">
        <v>1</v>
      </c>
    </row>
    <row r="93" spans="1:6" x14ac:dyDescent="0.3">
      <c r="A93" s="3" t="s">
        <v>1541</v>
      </c>
      <c r="B93" s="3" t="s">
        <v>1349</v>
      </c>
      <c r="C93" s="3">
        <v>0</v>
      </c>
      <c r="D93" s="3">
        <v>0</v>
      </c>
      <c r="E93" s="3">
        <v>0</v>
      </c>
      <c r="F93" s="3">
        <v>1</v>
      </c>
    </row>
    <row r="94" spans="1:6" x14ac:dyDescent="0.3">
      <c r="A94" s="3" t="s">
        <v>1541</v>
      </c>
      <c r="B94" s="3" t="s">
        <v>1100</v>
      </c>
      <c r="C94" s="3">
        <v>0</v>
      </c>
      <c r="D94" s="3">
        <v>0</v>
      </c>
      <c r="E94" s="3">
        <v>0</v>
      </c>
      <c r="F94" s="3">
        <v>1</v>
      </c>
    </row>
    <row r="95" spans="1:6" x14ac:dyDescent="0.3">
      <c r="A95" s="3" t="s">
        <v>1541</v>
      </c>
      <c r="B95" s="3" t="s">
        <v>394</v>
      </c>
      <c r="C95" s="3">
        <v>0</v>
      </c>
      <c r="D95" s="3">
        <v>0</v>
      </c>
      <c r="E95" s="3">
        <v>1</v>
      </c>
      <c r="F95" s="3">
        <v>0</v>
      </c>
    </row>
    <row r="96" spans="1:6" x14ac:dyDescent="0.3">
      <c r="A96" s="3" t="s">
        <v>1541</v>
      </c>
      <c r="B96" s="3" t="s">
        <v>420</v>
      </c>
      <c r="C96" s="3">
        <v>0</v>
      </c>
      <c r="D96" s="3">
        <v>0</v>
      </c>
      <c r="E96" s="3">
        <v>1</v>
      </c>
      <c r="F96" s="3">
        <v>0</v>
      </c>
    </row>
    <row r="97" spans="1:6" x14ac:dyDescent="0.3">
      <c r="A97" s="3" t="s">
        <v>1541</v>
      </c>
      <c r="B97" s="3" t="s">
        <v>713</v>
      </c>
      <c r="C97" s="3">
        <v>0</v>
      </c>
      <c r="D97" s="3">
        <v>0</v>
      </c>
      <c r="E97" s="3">
        <v>0</v>
      </c>
      <c r="F97" s="3">
        <v>1</v>
      </c>
    </row>
    <row r="98" spans="1:6" x14ac:dyDescent="0.3">
      <c r="A98" s="3" t="s">
        <v>1541</v>
      </c>
      <c r="B98" s="3" t="s">
        <v>406</v>
      </c>
      <c r="C98" s="3">
        <v>0</v>
      </c>
      <c r="D98" s="3">
        <v>0</v>
      </c>
      <c r="E98" s="3">
        <v>1</v>
      </c>
      <c r="F98" s="3">
        <v>0</v>
      </c>
    </row>
    <row r="99" spans="1:6" x14ac:dyDescent="0.3">
      <c r="A99" s="3" t="s">
        <v>1541</v>
      </c>
      <c r="B99" s="3" t="s">
        <v>340</v>
      </c>
      <c r="C99" s="3">
        <v>0</v>
      </c>
      <c r="D99" s="3">
        <v>0</v>
      </c>
      <c r="E99" s="3">
        <v>1</v>
      </c>
      <c r="F99" s="3">
        <v>0</v>
      </c>
    </row>
    <row r="100" spans="1:6" x14ac:dyDescent="0.3">
      <c r="A100" s="3" t="s">
        <v>1541</v>
      </c>
      <c r="B100" s="3" t="s">
        <v>1345</v>
      </c>
      <c r="C100" s="3">
        <v>0</v>
      </c>
      <c r="D100" s="3">
        <v>0</v>
      </c>
      <c r="E100" s="3">
        <v>0</v>
      </c>
      <c r="F100" s="3">
        <v>1</v>
      </c>
    </row>
    <row r="101" spans="1:6" x14ac:dyDescent="0.3">
      <c r="A101" s="3" t="s">
        <v>1541</v>
      </c>
      <c r="B101" s="3" t="s">
        <v>444</v>
      </c>
      <c r="C101" s="3">
        <v>0</v>
      </c>
      <c r="D101" s="3">
        <v>0</v>
      </c>
      <c r="E101" s="3">
        <v>1</v>
      </c>
      <c r="F101" s="3">
        <v>0</v>
      </c>
    </row>
    <row r="102" spans="1:6" x14ac:dyDescent="0.3">
      <c r="A102" s="3" t="s">
        <v>1541</v>
      </c>
      <c r="B102" s="3" t="s">
        <v>1391</v>
      </c>
      <c r="C102" s="3">
        <v>0</v>
      </c>
      <c r="D102" s="3">
        <v>0</v>
      </c>
      <c r="E102" s="3">
        <v>0</v>
      </c>
      <c r="F102" s="3">
        <v>1</v>
      </c>
    </row>
    <row r="103" spans="1:6" x14ac:dyDescent="0.3">
      <c r="A103" s="3" t="s">
        <v>1541</v>
      </c>
      <c r="B103" s="3" t="s">
        <v>533</v>
      </c>
      <c r="C103" s="3">
        <v>0</v>
      </c>
      <c r="D103" s="3">
        <v>0</v>
      </c>
      <c r="E103" s="3">
        <v>1</v>
      </c>
      <c r="F103" s="3">
        <v>0</v>
      </c>
    </row>
    <row r="104" spans="1:6" x14ac:dyDescent="0.3">
      <c r="A104" s="3" t="s">
        <v>1541</v>
      </c>
      <c r="B104" s="3" t="s">
        <v>1341</v>
      </c>
      <c r="C104" s="3">
        <v>0</v>
      </c>
      <c r="D104" s="3">
        <v>0</v>
      </c>
      <c r="E104" s="3">
        <v>0</v>
      </c>
      <c r="F104" s="3">
        <v>1</v>
      </c>
    </row>
    <row r="105" spans="1:6" x14ac:dyDescent="0.3">
      <c r="A105" s="3" t="s">
        <v>1541</v>
      </c>
      <c r="B105" s="3" t="s">
        <v>356</v>
      </c>
      <c r="C105" s="3">
        <v>0</v>
      </c>
      <c r="D105" s="3">
        <v>0</v>
      </c>
      <c r="E105" s="3">
        <v>1</v>
      </c>
      <c r="F105" s="3">
        <v>0</v>
      </c>
    </row>
    <row r="106" spans="1:6" x14ac:dyDescent="0.3">
      <c r="A106" s="3" t="s">
        <v>1541</v>
      </c>
      <c r="B106" s="3" t="s">
        <v>750</v>
      </c>
      <c r="C106" s="3">
        <v>0</v>
      </c>
      <c r="D106" s="3">
        <v>0</v>
      </c>
      <c r="E106" s="3">
        <v>0</v>
      </c>
      <c r="F106" s="3">
        <v>1</v>
      </c>
    </row>
    <row r="107" spans="1:6" x14ac:dyDescent="0.3">
      <c r="A107" s="3" t="s">
        <v>1541</v>
      </c>
      <c r="B107" s="3" t="s">
        <v>1065</v>
      </c>
      <c r="C107" s="3">
        <v>0</v>
      </c>
      <c r="D107" s="3">
        <v>0</v>
      </c>
      <c r="E107" s="3">
        <v>0</v>
      </c>
      <c r="F107" s="3">
        <v>1</v>
      </c>
    </row>
    <row r="108" spans="1:6" x14ac:dyDescent="0.3">
      <c r="A108" s="3" t="s">
        <v>1541</v>
      </c>
      <c r="B108" s="3" t="s">
        <v>648</v>
      </c>
      <c r="C108" s="3">
        <v>1</v>
      </c>
      <c r="D108" s="3">
        <v>0</v>
      </c>
      <c r="E108" s="3">
        <v>0</v>
      </c>
      <c r="F108" s="3">
        <v>0</v>
      </c>
    </row>
    <row r="109" spans="1:6" x14ac:dyDescent="0.3">
      <c r="A109" s="3" t="s">
        <v>1541</v>
      </c>
      <c r="B109" s="3" t="s">
        <v>549</v>
      </c>
      <c r="C109" s="3">
        <v>0</v>
      </c>
      <c r="D109" s="3">
        <v>0</v>
      </c>
      <c r="E109" s="3">
        <v>1</v>
      </c>
      <c r="F109" s="3">
        <v>0</v>
      </c>
    </row>
    <row r="110" spans="1:6" x14ac:dyDescent="0.3">
      <c r="A110" s="3" t="s">
        <v>1541</v>
      </c>
      <c r="B110" s="3" t="s">
        <v>492</v>
      </c>
      <c r="C110" s="3">
        <v>0</v>
      </c>
      <c r="D110" s="3">
        <v>0</v>
      </c>
      <c r="E110" s="3">
        <v>1</v>
      </c>
      <c r="F110" s="3">
        <v>0</v>
      </c>
    </row>
    <row r="111" spans="1:6" x14ac:dyDescent="0.3">
      <c r="A111" s="3" t="s">
        <v>1541</v>
      </c>
      <c r="B111" s="3" t="s">
        <v>413</v>
      </c>
      <c r="C111" s="3">
        <v>0</v>
      </c>
      <c r="D111" s="3">
        <v>0</v>
      </c>
      <c r="E111" s="3">
        <v>1</v>
      </c>
      <c r="F111" s="3">
        <v>0</v>
      </c>
    </row>
    <row r="112" spans="1:6" x14ac:dyDescent="0.3">
      <c r="A112" s="3" t="s">
        <v>1541</v>
      </c>
      <c r="B112" s="3" t="s">
        <v>909</v>
      </c>
      <c r="C112" s="3">
        <v>0</v>
      </c>
      <c r="D112" s="3">
        <v>0</v>
      </c>
      <c r="E112" s="3">
        <v>0</v>
      </c>
      <c r="F112" s="3">
        <v>1</v>
      </c>
    </row>
    <row r="113" spans="1:6" x14ac:dyDescent="0.3">
      <c r="A113" s="3" t="s">
        <v>1541</v>
      </c>
      <c r="B113" s="3" t="s">
        <v>1478</v>
      </c>
      <c r="C113" s="3">
        <v>0</v>
      </c>
      <c r="D113" s="3">
        <v>0</v>
      </c>
      <c r="E113" s="3">
        <v>0</v>
      </c>
      <c r="F113" s="3">
        <v>1</v>
      </c>
    </row>
    <row r="114" spans="1:6" x14ac:dyDescent="0.3">
      <c r="A114" s="3" t="s">
        <v>1541</v>
      </c>
      <c r="B114" s="3" t="s">
        <v>576</v>
      </c>
      <c r="C114" s="3">
        <v>0</v>
      </c>
      <c r="D114" s="3">
        <v>0</v>
      </c>
      <c r="E114" s="3">
        <v>1</v>
      </c>
      <c r="F114" s="3">
        <v>0</v>
      </c>
    </row>
    <row r="115" spans="1:6" x14ac:dyDescent="0.3">
      <c r="A115" s="3" t="s">
        <v>1541</v>
      </c>
      <c r="B115" s="3" t="s">
        <v>1053</v>
      </c>
      <c r="C115" s="3">
        <v>0</v>
      </c>
      <c r="D115" s="3">
        <v>0</v>
      </c>
      <c r="E115" s="3">
        <v>0</v>
      </c>
      <c r="F115" s="3">
        <v>1</v>
      </c>
    </row>
    <row r="116" spans="1:6" x14ac:dyDescent="0.3">
      <c r="A116" s="3" t="s">
        <v>1541</v>
      </c>
      <c r="B116" s="3" t="s">
        <v>1252</v>
      </c>
      <c r="C116" s="3">
        <v>0</v>
      </c>
      <c r="D116" s="3">
        <v>0</v>
      </c>
      <c r="E116" s="3">
        <v>0</v>
      </c>
      <c r="F116" s="3">
        <v>1</v>
      </c>
    </row>
    <row r="117" spans="1:6" x14ac:dyDescent="0.3">
      <c r="A117" s="3" t="s">
        <v>1541</v>
      </c>
      <c r="B117" s="3" t="s">
        <v>1131</v>
      </c>
      <c r="C117" s="3">
        <v>0</v>
      </c>
      <c r="D117" s="3">
        <v>0</v>
      </c>
      <c r="E117" s="3">
        <v>0</v>
      </c>
      <c r="F117" s="3">
        <v>1</v>
      </c>
    </row>
    <row r="118" spans="1:6" x14ac:dyDescent="0.3">
      <c r="A118" s="3" t="s">
        <v>1541</v>
      </c>
      <c r="B118" s="3" t="s">
        <v>1183</v>
      </c>
      <c r="C118" s="3">
        <v>0</v>
      </c>
      <c r="D118" s="3">
        <v>0</v>
      </c>
      <c r="E118" s="3">
        <v>0</v>
      </c>
      <c r="F118" s="3">
        <v>1</v>
      </c>
    </row>
    <row r="119" spans="1:6" x14ac:dyDescent="0.3">
      <c r="A119" s="3" t="s">
        <v>1541</v>
      </c>
      <c r="B119" s="3" t="s">
        <v>416</v>
      </c>
      <c r="C119" s="3">
        <v>0</v>
      </c>
      <c r="D119" s="3">
        <v>0</v>
      </c>
      <c r="E119" s="3">
        <v>1</v>
      </c>
      <c r="F119" s="3">
        <v>0</v>
      </c>
    </row>
    <row r="120" spans="1:6" x14ac:dyDescent="0.3">
      <c r="A120" s="3" t="s">
        <v>1541</v>
      </c>
      <c r="B120" s="3" t="s">
        <v>740</v>
      </c>
      <c r="C120" s="3">
        <v>0</v>
      </c>
      <c r="D120" s="3">
        <v>0</v>
      </c>
      <c r="E120" s="3">
        <v>0</v>
      </c>
      <c r="F120" s="3">
        <v>1</v>
      </c>
    </row>
    <row r="121" spans="1:6" x14ac:dyDescent="0.3">
      <c r="A121" s="3" t="s">
        <v>1541</v>
      </c>
      <c r="B121" s="3" t="s">
        <v>328</v>
      </c>
      <c r="C121" s="3">
        <v>0</v>
      </c>
      <c r="D121" s="3">
        <v>0</v>
      </c>
      <c r="E121" s="3">
        <v>1</v>
      </c>
      <c r="F121" s="3">
        <v>0</v>
      </c>
    </row>
    <row r="122" spans="1:6" x14ac:dyDescent="0.3">
      <c r="A122" s="3" t="s">
        <v>1541</v>
      </c>
      <c r="B122" s="3" t="s">
        <v>281</v>
      </c>
      <c r="C122" s="3">
        <v>0</v>
      </c>
      <c r="D122" s="3">
        <v>0</v>
      </c>
      <c r="E122" s="3">
        <v>1</v>
      </c>
      <c r="F122" s="3">
        <v>0</v>
      </c>
    </row>
    <row r="123" spans="1:6" x14ac:dyDescent="0.3">
      <c r="A123" s="3" t="s">
        <v>1541</v>
      </c>
      <c r="B123" s="3" t="s">
        <v>1386</v>
      </c>
      <c r="C123" s="3">
        <v>0</v>
      </c>
      <c r="D123" s="3">
        <v>0</v>
      </c>
      <c r="E123" s="3">
        <v>0</v>
      </c>
      <c r="F123" s="3">
        <v>1</v>
      </c>
    </row>
    <row r="124" spans="1:6" x14ac:dyDescent="0.3">
      <c r="A124" s="3" t="s">
        <v>1541</v>
      </c>
      <c r="B124" s="3" t="s">
        <v>1148</v>
      </c>
      <c r="C124" s="3">
        <v>0</v>
      </c>
      <c r="D124" s="3">
        <v>0</v>
      </c>
      <c r="E124" s="3">
        <v>0</v>
      </c>
      <c r="F124" s="3">
        <v>1</v>
      </c>
    </row>
    <row r="125" spans="1:6" x14ac:dyDescent="0.3">
      <c r="A125" s="3" t="s">
        <v>1541</v>
      </c>
      <c r="B125" s="3" t="s">
        <v>871</v>
      </c>
      <c r="C125" s="3">
        <v>0</v>
      </c>
      <c r="D125" s="3">
        <v>0</v>
      </c>
      <c r="E125" s="3">
        <v>0</v>
      </c>
      <c r="F125" s="3">
        <v>1</v>
      </c>
    </row>
    <row r="126" spans="1:6" x14ac:dyDescent="0.3">
      <c r="A126" s="3" t="s">
        <v>1541</v>
      </c>
      <c r="B126" s="3" t="s">
        <v>1373</v>
      </c>
      <c r="C126" s="3">
        <v>0</v>
      </c>
      <c r="D126" s="3">
        <v>0</v>
      </c>
      <c r="E126" s="3">
        <v>0</v>
      </c>
      <c r="F126" s="3">
        <v>1</v>
      </c>
    </row>
    <row r="127" spans="1:6" x14ac:dyDescent="0.3">
      <c r="A127" s="3" t="s">
        <v>1541</v>
      </c>
      <c r="B127" s="3" t="s">
        <v>973</v>
      </c>
      <c r="C127" s="3">
        <v>0</v>
      </c>
      <c r="D127" s="3">
        <v>0</v>
      </c>
      <c r="E127" s="3">
        <v>0</v>
      </c>
      <c r="F127" s="3">
        <v>1</v>
      </c>
    </row>
    <row r="128" spans="1:6" x14ac:dyDescent="0.3">
      <c r="A128" s="3" t="s">
        <v>1541</v>
      </c>
      <c r="B128" s="3" t="s">
        <v>1169</v>
      </c>
      <c r="C128" s="3">
        <v>0</v>
      </c>
      <c r="D128" s="3">
        <v>0</v>
      </c>
      <c r="E128" s="3">
        <v>0</v>
      </c>
      <c r="F128" s="3">
        <v>1</v>
      </c>
    </row>
    <row r="129" spans="1:6" x14ac:dyDescent="0.3">
      <c r="A129" s="3" t="s">
        <v>1541</v>
      </c>
      <c r="B129" s="3" t="s">
        <v>837</v>
      </c>
      <c r="C129" s="3">
        <v>0</v>
      </c>
      <c r="D129" s="3">
        <v>0</v>
      </c>
      <c r="E129" s="3">
        <v>0</v>
      </c>
      <c r="F129" s="3">
        <v>1</v>
      </c>
    </row>
    <row r="130" spans="1:6" x14ac:dyDescent="0.3">
      <c r="A130" s="3" t="s">
        <v>1541</v>
      </c>
      <c r="B130" s="3" t="s">
        <v>1226</v>
      </c>
      <c r="C130" s="3">
        <v>0</v>
      </c>
      <c r="D130" s="3">
        <v>0</v>
      </c>
      <c r="E130" s="3">
        <v>0</v>
      </c>
      <c r="F130" s="3">
        <v>1</v>
      </c>
    </row>
    <row r="131" spans="1:6" x14ac:dyDescent="0.3">
      <c r="A131" s="3" t="s">
        <v>1541</v>
      </c>
      <c r="B131" s="3" t="s">
        <v>1174</v>
      </c>
      <c r="C131" s="3">
        <v>0</v>
      </c>
      <c r="D131" s="3">
        <v>0</v>
      </c>
      <c r="E131" s="3">
        <v>0</v>
      </c>
      <c r="F131" s="3">
        <v>1</v>
      </c>
    </row>
    <row r="132" spans="1:6" x14ac:dyDescent="0.3">
      <c r="A132" s="3" t="s">
        <v>1541</v>
      </c>
      <c r="B132" s="3" t="s">
        <v>304</v>
      </c>
      <c r="C132" s="3">
        <v>0</v>
      </c>
      <c r="D132" s="3">
        <v>0</v>
      </c>
      <c r="E132" s="3">
        <v>1</v>
      </c>
      <c r="F132" s="3">
        <v>0</v>
      </c>
    </row>
    <row r="133" spans="1:6" x14ac:dyDescent="0.3">
      <c r="A133" s="3" t="s">
        <v>1541</v>
      </c>
      <c r="B133" s="3" t="s">
        <v>1411</v>
      </c>
      <c r="C133" s="3">
        <v>0</v>
      </c>
      <c r="D133" s="3">
        <v>0</v>
      </c>
      <c r="E133" s="3">
        <v>0</v>
      </c>
      <c r="F133" s="3">
        <v>1</v>
      </c>
    </row>
    <row r="134" spans="1:6" x14ac:dyDescent="0.3">
      <c r="A134" s="3" t="s">
        <v>1541</v>
      </c>
      <c r="B134" s="3" t="s">
        <v>510</v>
      </c>
      <c r="C134" s="3">
        <v>0</v>
      </c>
      <c r="D134" s="3">
        <v>0</v>
      </c>
      <c r="E134" s="3">
        <v>1</v>
      </c>
      <c r="F134" s="3">
        <v>0</v>
      </c>
    </row>
    <row r="135" spans="1:6" x14ac:dyDescent="0.3">
      <c r="A135" s="3" t="s">
        <v>1541</v>
      </c>
      <c r="B135" s="3" t="s">
        <v>1330</v>
      </c>
      <c r="C135" s="3">
        <v>0</v>
      </c>
      <c r="D135" s="3">
        <v>0</v>
      </c>
      <c r="E135" s="3">
        <v>0</v>
      </c>
      <c r="F135" s="3">
        <v>1</v>
      </c>
    </row>
    <row r="136" spans="1:6" x14ac:dyDescent="0.3">
      <c r="A136" s="3" t="s">
        <v>1541</v>
      </c>
      <c r="B136" s="3" t="s">
        <v>707</v>
      </c>
      <c r="C136" s="3">
        <v>0</v>
      </c>
      <c r="D136" s="3">
        <v>0</v>
      </c>
      <c r="E136" s="3">
        <v>0</v>
      </c>
      <c r="F136" s="3">
        <v>1</v>
      </c>
    </row>
    <row r="137" spans="1:6" x14ac:dyDescent="0.3">
      <c r="A137" s="3" t="s">
        <v>1541</v>
      </c>
      <c r="B137" s="3" t="s">
        <v>1377</v>
      </c>
      <c r="C137" s="3">
        <v>0</v>
      </c>
      <c r="D137" s="3">
        <v>0</v>
      </c>
      <c r="E137" s="3">
        <v>0</v>
      </c>
      <c r="F137" s="3">
        <v>1</v>
      </c>
    </row>
    <row r="138" spans="1:6" x14ac:dyDescent="0.3">
      <c r="A138" s="3" t="s">
        <v>1541</v>
      </c>
      <c r="B138" s="3" t="s">
        <v>592</v>
      </c>
      <c r="C138" s="3">
        <v>1</v>
      </c>
      <c r="D138" s="3">
        <v>0</v>
      </c>
      <c r="E138" s="3">
        <v>0</v>
      </c>
      <c r="F138" s="3">
        <v>0</v>
      </c>
    </row>
    <row r="139" spans="1:6" x14ac:dyDescent="0.3">
      <c r="A139" s="3" t="s">
        <v>1541</v>
      </c>
      <c r="B139" s="3" t="s">
        <v>745</v>
      </c>
      <c r="C139" s="3">
        <v>0</v>
      </c>
      <c r="D139" s="3">
        <v>0</v>
      </c>
      <c r="E139" s="3">
        <v>0</v>
      </c>
      <c r="F139" s="3">
        <v>1</v>
      </c>
    </row>
    <row r="140" spans="1:6" x14ac:dyDescent="0.3">
      <c r="A140" s="3" t="s">
        <v>1541</v>
      </c>
      <c r="B140" s="3" t="s">
        <v>1314</v>
      </c>
      <c r="C140" s="3">
        <v>0</v>
      </c>
      <c r="D140" s="3">
        <v>0</v>
      </c>
      <c r="E140" s="3">
        <v>0</v>
      </c>
      <c r="F140" s="3">
        <v>1</v>
      </c>
    </row>
    <row r="141" spans="1:6" x14ac:dyDescent="0.3">
      <c r="A141" s="3" t="s">
        <v>1541</v>
      </c>
      <c r="B141" s="3" t="s">
        <v>1281</v>
      </c>
      <c r="C141" s="3">
        <v>0</v>
      </c>
      <c r="D141" s="3">
        <v>0</v>
      </c>
      <c r="E141" s="3">
        <v>0</v>
      </c>
      <c r="F141" s="3">
        <v>1</v>
      </c>
    </row>
    <row r="142" spans="1:6" x14ac:dyDescent="0.3">
      <c r="A142" s="3" t="s">
        <v>1541</v>
      </c>
      <c r="B142" s="3" t="s">
        <v>1496</v>
      </c>
      <c r="C142" s="3">
        <v>0</v>
      </c>
      <c r="D142" s="3">
        <v>0</v>
      </c>
      <c r="E142" s="3">
        <v>0</v>
      </c>
      <c r="F142" s="3">
        <v>1</v>
      </c>
    </row>
    <row r="143" spans="1:6" x14ac:dyDescent="0.3">
      <c r="A143" s="3" t="s">
        <v>1541</v>
      </c>
      <c r="B143" s="3" t="s">
        <v>1492</v>
      </c>
      <c r="C143" s="3">
        <v>0</v>
      </c>
      <c r="D143" s="3">
        <v>0</v>
      </c>
      <c r="E143" s="3">
        <v>0</v>
      </c>
      <c r="F143" s="3">
        <v>1</v>
      </c>
    </row>
    <row r="144" spans="1:6" x14ac:dyDescent="0.3">
      <c r="A144" s="3" t="s">
        <v>1541</v>
      </c>
      <c r="B144" s="3" t="s">
        <v>1500</v>
      </c>
      <c r="C144" s="3">
        <v>0</v>
      </c>
      <c r="D144" s="3">
        <v>0</v>
      </c>
      <c r="E144" s="3">
        <v>0</v>
      </c>
      <c r="F144" s="3">
        <v>1</v>
      </c>
    </row>
    <row r="145" spans="1:6" x14ac:dyDescent="0.3">
      <c r="A145" s="3" t="s">
        <v>1541</v>
      </c>
      <c r="B145" s="3" t="s">
        <v>1097</v>
      </c>
      <c r="C145" s="3">
        <v>0</v>
      </c>
      <c r="D145" s="3">
        <v>0</v>
      </c>
      <c r="E145" s="3">
        <v>0</v>
      </c>
      <c r="F145" s="3">
        <v>1</v>
      </c>
    </row>
    <row r="146" spans="1:6" x14ac:dyDescent="0.3">
      <c r="A146" s="3" t="s">
        <v>1541</v>
      </c>
      <c r="B146" s="3" t="s">
        <v>1463</v>
      </c>
      <c r="C146" s="3">
        <v>0</v>
      </c>
      <c r="D146" s="3">
        <v>0</v>
      </c>
      <c r="E146" s="3">
        <v>0</v>
      </c>
      <c r="F146" s="3">
        <v>1</v>
      </c>
    </row>
    <row r="147" spans="1:6" x14ac:dyDescent="0.3">
      <c r="A147" s="3" t="s">
        <v>1541</v>
      </c>
      <c r="B147" s="3" t="s">
        <v>726</v>
      </c>
      <c r="C147" s="3">
        <v>0</v>
      </c>
      <c r="D147" s="3">
        <v>0</v>
      </c>
      <c r="E147" s="3">
        <v>0</v>
      </c>
      <c r="F147" s="3">
        <v>1</v>
      </c>
    </row>
    <row r="148" spans="1:6" x14ac:dyDescent="0.3">
      <c r="A148" s="3" t="s">
        <v>1541</v>
      </c>
      <c r="B148" s="3" t="s">
        <v>229</v>
      </c>
      <c r="C148" s="3">
        <v>0</v>
      </c>
      <c r="D148" s="3">
        <v>0</v>
      </c>
      <c r="E148" s="3">
        <v>1</v>
      </c>
      <c r="F148" s="3">
        <v>0</v>
      </c>
    </row>
    <row r="149" spans="1:6" x14ac:dyDescent="0.3">
      <c r="A149" s="3" t="s">
        <v>1541</v>
      </c>
      <c r="B149" s="3" t="s">
        <v>1423</v>
      </c>
      <c r="C149" s="3">
        <v>0</v>
      </c>
      <c r="D149" s="3">
        <v>0</v>
      </c>
      <c r="E149" s="3">
        <v>0</v>
      </c>
      <c r="F149" s="3">
        <v>1</v>
      </c>
    </row>
    <row r="150" spans="1:6" x14ac:dyDescent="0.3">
      <c r="A150" s="3" t="s">
        <v>1541</v>
      </c>
      <c r="B150" s="3" t="s">
        <v>300</v>
      </c>
      <c r="C150" s="3">
        <v>0</v>
      </c>
      <c r="D150" s="3">
        <v>0</v>
      </c>
      <c r="E150" s="3">
        <v>1</v>
      </c>
      <c r="F150" s="3">
        <v>0</v>
      </c>
    </row>
    <row r="151" spans="1:6" x14ac:dyDescent="0.3">
      <c r="A151" s="3" t="s">
        <v>1541</v>
      </c>
      <c r="B151" s="3" t="s">
        <v>915</v>
      </c>
      <c r="C151" s="3">
        <v>0</v>
      </c>
      <c r="D151" s="3">
        <v>0</v>
      </c>
      <c r="E151" s="3">
        <v>0</v>
      </c>
      <c r="F151" s="3">
        <v>1</v>
      </c>
    </row>
    <row r="152" spans="1:6" x14ac:dyDescent="0.3">
      <c r="A152" s="3" t="s">
        <v>1541</v>
      </c>
      <c r="B152" s="3" t="s">
        <v>514</v>
      </c>
      <c r="C152" s="3">
        <v>0</v>
      </c>
      <c r="D152" s="3">
        <v>0</v>
      </c>
      <c r="E152" s="3">
        <v>1</v>
      </c>
      <c r="F152" s="3">
        <v>0</v>
      </c>
    </row>
    <row r="153" spans="1:6" x14ac:dyDescent="0.3">
      <c r="A153" s="3" t="s">
        <v>1541</v>
      </c>
      <c r="B153" s="3" t="s">
        <v>789</v>
      </c>
      <c r="C153" s="3">
        <v>0</v>
      </c>
      <c r="D153" s="3">
        <v>0</v>
      </c>
      <c r="E153" s="3">
        <v>0</v>
      </c>
      <c r="F153" s="3">
        <v>1</v>
      </c>
    </row>
    <row r="154" spans="1:6" x14ac:dyDescent="0.3">
      <c r="A154" s="3" t="s">
        <v>1541</v>
      </c>
      <c r="B154" s="3" t="s">
        <v>380</v>
      </c>
      <c r="C154" s="3">
        <v>0</v>
      </c>
      <c r="D154" s="3">
        <v>0</v>
      </c>
      <c r="E154" s="3">
        <v>1</v>
      </c>
      <c r="F154" s="3">
        <v>0</v>
      </c>
    </row>
    <row r="155" spans="1:6" x14ac:dyDescent="0.3">
      <c r="A155" s="3" t="s">
        <v>1541</v>
      </c>
      <c r="B155" s="3" t="s">
        <v>483</v>
      </c>
      <c r="C155" s="3">
        <v>0</v>
      </c>
      <c r="D155" s="3">
        <v>0</v>
      </c>
      <c r="E155" s="3">
        <v>1</v>
      </c>
      <c r="F155" s="3">
        <v>0</v>
      </c>
    </row>
    <row r="156" spans="1:6" x14ac:dyDescent="0.3">
      <c r="A156" s="3" t="s">
        <v>1541</v>
      </c>
      <c r="B156" s="3" t="s">
        <v>537</v>
      </c>
      <c r="C156" s="3">
        <v>0</v>
      </c>
      <c r="D156" s="3">
        <v>0</v>
      </c>
      <c r="E156" s="3">
        <v>1</v>
      </c>
      <c r="F156" s="3">
        <v>0</v>
      </c>
    </row>
    <row r="157" spans="1:6" x14ac:dyDescent="0.3">
      <c r="A157" s="3" t="s">
        <v>1541</v>
      </c>
      <c r="B157" s="3" t="s">
        <v>1028</v>
      </c>
      <c r="C157" s="3">
        <v>0</v>
      </c>
      <c r="D157" s="3">
        <v>0</v>
      </c>
      <c r="E157" s="3">
        <v>0</v>
      </c>
      <c r="F157" s="3">
        <v>1</v>
      </c>
    </row>
    <row r="158" spans="1:6" x14ac:dyDescent="0.3">
      <c r="A158" s="3" t="s">
        <v>1541</v>
      </c>
      <c r="B158" s="3" t="s">
        <v>1094</v>
      </c>
      <c r="C158" s="3">
        <v>0</v>
      </c>
      <c r="D158" s="3">
        <v>0</v>
      </c>
      <c r="E158" s="3">
        <v>0</v>
      </c>
      <c r="F158" s="3">
        <v>1</v>
      </c>
    </row>
    <row r="159" spans="1:6" x14ac:dyDescent="0.3">
      <c r="A159" s="3" t="s">
        <v>1541</v>
      </c>
      <c r="B159" s="3" t="s">
        <v>427</v>
      </c>
      <c r="C159" s="3">
        <v>0</v>
      </c>
      <c r="D159" s="3">
        <v>0</v>
      </c>
      <c r="E159" s="3">
        <v>1</v>
      </c>
      <c r="F159" s="3">
        <v>0</v>
      </c>
    </row>
    <row r="160" spans="1:6" x14ac:dyDescent="0.3">
      <c r="A160" s="3" t="s">
        <v>1541</v>
      </c>
      <c r="B160" s="3" t="s">
        <v>702</v>
      </c>
      <c r="C160" s="3">
        <v>0</v>
      </c>
      <c r="D160" s="3">
        <v>0</v>
      </c>
      <c r="E160" s="3">
        <v>0</v>
      </c>
      <c r="F160" s="3">
        <v>1</v>
      </c>
    </row>
    <row r="161" spans="1:6" x14ac:dyDescent="0.3">
      <c r="A161" s="3" t="s">
        <v>1541</v>
      </c>
      <c r="B161" s="3" t="s">
        <v>563</v>
      </c>
      <c r="C161" s="3">
        <v>0</v>
      </c>
      <c r="D161" s="3">
        <v>0</v>
      </c>
      <c r="E161" s="3">
        <v>1</v>
      </c>
      <c r="F161" s="3">
        <v>0</v>
      </c>
    </row>
    <row r="162" spans="1:6" x14ac:dyDescent="0.3">
      <c r="A162" s="3" t="s">
        <v>1541</v>
      </c>
      <c r="B162" s="3" t="s">
        <v>410</v>
      </c>
      <c r="C162" s="3">
        <v>0</v>
      </c>
      <c r="D162" s="3">
        <v>0</v>
      </c>
      <c r="E162" s="3">
        <v>1</v>
      </c>
      <c r="F162" s="3">
        <v>0</v>
      </c>
    </row>
    <row r="163" spans="1:6" x14ac:dyDescent="0.3">
      <c r="A163" s="3" t="s">
        <v>1541</v>
      </c>
      <c r="B163" s="3" t="s">
        <v>887</v>
      </c>
      <c r="C163" s="3">
        <v>0</v>
      </c>
      <c r="D163" s="3">
        <v>0</v>
      </c>
      <c r="E163" s="3">
        <v>0</v>
      </c>
      <c r="F163" s="3">
        <v>1</v>
      </c>
    </row>
    <row r="164" spans="1:6" x14ac:dyDescent="0.3">
      <c r="A164" s="3" t="s">
        <v>1541</v>
      </c>
      <c r="B164" s="3" t="s">
        <v>1118</v>
      </c>
      <c r="C164" s="3">
        <v>0</v>
      </c>
      <c r="D164" s="3">
        <v>0</v>
      </c>
      <c r="E164" s="3">
        <v>0</v>
      </c>
      <c r="F164" s="3">
        <v>1</v>
      </c>
    </row>
    <row r="165" spans="1:6" x14ac:dyDescent="0.3">
      <c r="A165" s="3" t="s">
        <v>1541</v>
      </c>
      <c r="B165" s="3" t="s">
        <v>180</v>
      </c>
      <c r="C165" s="3">
        <v>0</v>
      </c>
      <c r="D165" s="3">
        <v>0</v>
      </c>
      <c r="E165" s="3">
        <v>1</v>
      </c>
      <c r="F165" s="3">
        <v>0</v>
      </c>
    </row>
    <row r="166" spans="1:6" x14ac:dyDescent="0.3">
      <c r="A166" s="3" t="s">
        <v>1541</v>
      </c>
      <c r="B166" s="3" t="s">
        <v>1319</v>
      </c>
      <c r="C166" s="3">
        <v>0</v>
      </c>
      <c r="D166" s="3">
        <v>0</v>
      </c>
      <c r="E166" s="3">
        <v>0</v>
      </c>
      <c r="F166" s="3">
        <v>1</v>
      </c>
    </row>
    <row r="167" spans="1:6" x14ac:dyDescent="0.3">
      <c r="A167" s="3" t="s">
        <v>1541</v>
      </c>
      <c r="B167" s="3" t="s">
        <v>685</v>
      </c>
      <c r="C167" s="3">
        <v>0</v>
      </c>
      <c r="D167" s="3">
        <v>0</v>
      </c>
      <c r="E167" s="3">
        <v>0</v>
      </c>
      <c r="F167" s="3">
        <v>1</v>
      </c>
    </row>
    <row r="168" spans="1:6" x14ac:dyDescent="0.3">
      <c r="A168" s="3" t="s">
        <v>1541</v>
      </c>
      <c r="B168" s="3" t="s">
        <v>423</v>
      </c>
      <c r="C168" s="3">
        <v>0</v>
      </c>
      <c r="D168" s="3">
        <v>0</v>
      </c>
      <c r="E168" s="3">
        <v>1</v>
      </c>
      <c r="F168" s="3">
        <v>0</v>
      </c>
    </row>
    <row r="169" spans="1:6" x14ac:dyDescent="0.3">
      <c r="A169" s="3" t="s">
        <v>1541</v>
      </c>
      <c r="B169" s="3" t="s">
        <v>1242</v>
      </c>
      <c r="C169" s="3">
        <v>0</v>
      </c>
      <c r="D169" s="3">
        <v>0</v>
      </c>
      <c r="E169" s="3">
        <v>0</v>
      </c>
      <c r="F169" s="3">
        <v>1</v>
      </c>
    </row>
    <row r="170" spans="1:6" x14ac:dyDescent="0.3">
      <c r="A170" s="3" t="s">
        <v>1541</v>
      </c>
      <c r="B170" s="3" t="s">
        <v>945</v>
      </c>
      <c r="C170" s="3">
        <v>0</v>
      </c>
      <c r="D170" s="3">
        <v>0</v>
      </c>
      <c r="E170" s="3">
        <v>0</v>
      </c>
      <c r="F170" s="3">
        <v>1</v>
      </c>
    </row>
    <row r="171" spans="1:6" x14ac:dyDescent="0.3">
      <c r="A171" s="3" t="s">
        <v>1541</v>
      </c>
      <c r="B171" s="3" t="s">
        <v>1091</v>
      </c>
      <c r="C171" s="3">
        <v>0</v>
      </c>
      <c r="D171" s="3">
        <v>0</v>
      </c>
      <c r="E171" s="3">
        <v>0</v>
      </c>
      <c r="F171" s="3">
        <v>1</v>
      </c>
    </row>
    <row r="172" spans="1:6" x14ac:dyDescent="0.3">
      <c r="A172" s="3" t="s">
        <v>1541</v>
      </c>
      <c r="B172" s="3" t="s">
        <v>831</v>
      </c>
      <c r="C172" s="3">
        <v>0</v>
      </c>
      <c r="D172" s="3">
        <v>0</v>
      </c>
      <c r="E172" s="3">
        <v>0</v>
      </c>
      <c r="F172" s="3">
        <v>1</v>
      </c>
    </row>
    <row r="173" spans="1:6" x14ac:dyDescent="0.3">
      <c r="A173" s="3" t="s">
        <v>1541</v>
      </c>
      <c r="B173" s="3" t="s">
        <v>978</v>
      </c>
      <c r="C173" s="3">
        <v>0</v>
      </c>
      <c r="D173" s="3">
        <v>0</v>
      </c>
      <c r="E173" s="3">
        <v>0</v>
      </c>
      <c r="F173" s="3">
        <v>1</v>
      </c>
    </row>
    <row r="174" spans="1:6" x14ac:dyDescent="0.3">
      <c r="A174" s="3" t="s">
        <v>1541</v>
      </c>
      <c r="B174" s="3" t="s">
        <v>1324</v>
      </c>
      <c r="C174" s="3">
        <v>0</v>
      </c>
      <c r="D174" s="3">
        <v>0</v>
      </c>
      <c r="E174" s="3">
        <v>0</v>
      </c>
      <c r="F174" s="3">
        <v>1</v>
      </c>
    </row>
    <row r="175" spans="1:6" x14ac:dyDescent="0.3">
      <c r="A175" s="3" t="s">
        <v>1541</v>
      </c>
      <c r="B175" s="3" t="s">
        <v>1222</v>
      </c>
      <c r="C175" s="3">
        <v>0</v>
      </c>
      <c r="D175" s="3">
        <v>0</v>
      </c>
      <c r="E175" s="3">
        <v>0</v>
      </c>
      <c r="F175" s="3">
        <v>1</v>
      </c>
    </row>
    <row r="176" spans="1:6" x14ac:dyDescent="0.3">
      <c r="A176" s="3" t="s">
        <v>1541</v>
      </c>
      <c r="B176" s="3" t="s">
        <v>911</v>
      </c>
      <c r="C176" s="3">
        <v>0</v>
      </c>
      <c r="D176" s="3">
        <v>0</v>
      </c>
      <c r="E176" s="3">
        <v>0</v>
      </c>
      <c r="F176" s="3">
        <v>1</v>
      </c>
    </row>
    <row r="177" spans="1:6" x14ac:dyDescent="0.3">
      <c r="A177" s="3" t="s">
        <v>1541</v>
      </c>
      <c r="B177" s="3" t="s">
        <v>1023</v>
      </c>
      <c r="C177" s="3">
        <v>0</v>
      </c>
      <c r="D177" s="3">
        <v>0</v>
      </c>
      <c r="E177" s="3">
        <v>0</v>
      </c>
      <c r="F177" s="3">
        <v>1</v>
      </c>
    </row>
    <row r="178" spans="1:6" x14ac:dyDescent="0.3">
      <c r="A178" s="3" t="s">
        <v>1541</v>
      </c>
      <c r="B178" s="3" t="s">
        <v>696</v>
      </c>
      <c r="C178" s="3">
        <v>0</v>
      </c>
      <c r="D178" s="3">
        <v>0</v>
      </c>
      <c r="E178" s="3">
        <v>0</v>
      </c>
      <c r="F178" s="3">
        <v>1</v>
      </c>
    </row>
    <row r="179" spans="1:6" x14ac:dyDescent="0.3">
      <c r="A179" s="3" t="s">
        <v>1541</v>
      </c>
      <c r="B179" s="3" t="s">
        <v>1109</v>
      </c>
      <c r="C179" s="3">
        <v>0</v>
      </c>
      <c r="D179" s="3">
        <v>0</v>
      </c>
      <c r="E179" s="3">
        <v>0</v>
      </c>
      <c r="F179" s="3">
        <v>1</v>
      </c>
    </row>
    <row r="180" spans="1:6" x14ac:dyDescent="0.3">
      <c r="A180" s="3" t="s">
        <v>1541</v>
      </c>
      <c r="B180" s="3" t="s">
        <v>950</v>
      </c>
      <c r="C180" s="3">
        <v>0</v>
      </c>
      <c r="D180" s="3">
        <v>0</v>
      </c>
      <c r="E180" s="3">
        <v>0</v>
      </c>
      <c r="F180" s="3">
        <v>1</v>
      </c>
    </row>
    <row r="181" spans="1:6" x14ac:dyDescent="0.3">
      <c r="A181" s="3" t="s">
        <v>1541</v>
      </c>
      <c r="B181" s="3" t="s">
        <v>318</v>
      </c>
      <c r="C181" s="3">
        <v>0</v>
      </c>
      <c r="D181" s="3">
        <v>0</v>
      </c>
      <c r="E181" s="3">
        <v>1</v>
      </c>
      <c r="F181" s="3">
        <v>0</v>
      </c>
    </row>
    <row r="182" spans="1:6" x14ac:dyDescent="0.3">
      <c r="A182" s="3" t="s">
        <v>1541</v>
      </c>
      <c r="B182" s="3" t="s">
        <v>217</v>
      </c>
      <c r="C182" s="3">
        <v>0</v>
      </c>
      <c r="D182" s="3">
        <v>0</v>
      </c>
      <c r="E182" s="3">
        <v>1</v>
      </c>
      <c r="F182" s="3">
        <v>0</v>
      </c>
    </row>
    <row r="183" spans="1:6" x14ac:dyDescent="0.3">
      <c r="A183" s="3" t="s">
        <v>1541</v>
      </c>
      <c r="B183" s="3" t="s">
        <v>674</v>
      </c>
      <c r="C183" s="3">
        <v>0</v>
      </c>
      <c r="D183" s="3">
        <v>0</v>
      </c>
      <c r="E183" s="3">
        <v>0</v>
      </c>
      <c r="F183" s="3">
        <v>1</v>
      </c>
    </row>
    <row r="184" spans="1:6" x14ac:dyDescent="0.3">
      <c r="A184" s="3" t="s">
        <v>1541</v>
      </c>
      <c r="B184" s="3" t="s">
        <v>246</v>
      </c>
      <c r="C184" s="3">
        <v>0</v>
      </c>
      <c r="D184" s="3">
        <v>0</v>
      </c>
      <c r="E184" s="3">
        <v>1</v>
      </c>
      <c r="F184" s="3">
        <v>0</v>
      </c>
    </row>
    <row r="185" spans="1:6" x14ac:dyDescent="0.3">
      <c r="A185" s="3" t="s">
        <v>1541</v>
      </c>
      <c r="B185" s="3" t="s">
        <v>435</v>
      </c>
      <c r="C185" s="3">
        <v>0</v>
      </c>
      <c r="D185" s="3">
        <v>0</v>
      </c>
      <c r="E185" s="3">
        <v>1</v>
      </c>
      <c r="F185" s="3">
        <v>0</v>
      </c>
    </row>
    <row r="186" spans="1:6" x14ac:dyDescent="0.3">
      <c r="A186" s="3" t="s">
        <v>1541</v>
      </c>
      <c r="B186" s="3" t="s">
        <v>500</v>
      </c>
      <c r="C186" s="3">
        <v>0</v>
      </c>
      <c r="D186" s="3">
        <v>0</v>
      </c>
      <c r="E186" s="3">
        <v>1</v>
      </c>
      <c r="F186" s="3">
        <v>0</v>
      </c>
    </row>
    <row r="187" spans="1:6" x14ac:dyDescent="0.3">
      <c r="A187" s="3" t="s">
        <v>1541</v>
      </c>
      <c r="B187" s="3" t="s">
        <v>625</v>
      </c>
      <c r="C187" s="3">
        <v>1</v>
      </c>
      <c r="D187" s="3">
        <v>0</v>
      </c>
      <c r="E187" s="3">
        <v>0</v>
      </c>
      <c r="F187" s="3">
        <v>0</v>
      </c>
    </row>
    <row r="188" spans="1:6" x14ac:dyDescent="0.3">
      <c r="A188" s="3" t="s">
        <v>1541</v>
      </c>
      <c r="B188" s="3" t="s">
        <v>169</v>
      </c>
      <c r="C188" s="3">
        <v>0</v>
      </c>
      <c r="D188" s="3">
        <v>0</v>
      </c>
      <c r="E188" s="3">
        <v>1</v>
      </c>
      <c r="F188" s="3">
        <v>0</v>
      </c>
    </row>
    <row r="189" spans="1:6" x14ac:dyDescent="0.3">
      <c r="A189" s="3" t="s">
        <v>1541</v>
      </c>
      <c r="B189" s="3" t="s">
        <v>1068</v>
      </c>
      <c r="C189" s="3">
        <v>0</v>
      </c>
      <c r="D189" s="3">
        <v>0</v>
      </c>
      <c r="E189" s="3">
        <v>0</v>
      </c>
      <c r="F189" s="3">
        <v>1</v>
      </c>
    </row>
    <row r="190" spans="1:6" x14ac:dyDescent="0.3">
      <c r="A190" s="3" t="s">
        <v>1541</v>
      </c>
      <c r="B190" s="3" t="s">
        <v>1433</v>
      </c>
      <c r="C190" s="3">
        <v>0</v>
      </c>
      <c r="D190" s="3">
        <v>0</v>
      </c>
      <c r="E190" s="3">
        <v>0</v>
      </c>
      <c r="F190" s="3">
        <v>1</v>
      </c>
    </row>
    <row r="191" spans="1:6" x14ac:dyDescent="0.3">
      <c r="A191" s="3" t="s">
        <v>1541</v>
      </c>
      <c r="B191" s="3" t="s">
        <v>1306</v>
      </c>
      <c r="C191" s="3">
        <v>0</v>
      </c>
      <c r="D191" s="3">
        <v>0</v>
      </c>
      <c r="E191" s="3">
        <v>0</v>
      </c>
      <c r="F191" s="3">
        <v>1</v>
      </c>
    </row>
    <row r="192" spans="1:6" x14ac:dyDescent="0.3">
      <c r="A192" s="3" t="s">
        <v>1541</v>
      </c>
      <c r="B192" s="3" t="s">
        <v>997</v>
      </c>
      <c r="C192" s="3">
        <v>0</v>
      </c>
      <c r="D192" s="3">
        <v>0</v>
      </c>
      <c r="E192" s="3">
        <v>0</v>
      </c>
      <c r="F192" s="3">
        <v>1</v>
      </c>
    </row>
    <row r="193" spans="1:6" x14ac:dyDescent="0.3">
      <c r="A193" s="3" t="s">
        <v>1541</v>
      </c>
      <c r="B193" s="3" t="s">
        <v>1504</v>
      </c>
      <c r="C193" s="3">
        <v>0</v>
      </c>
      <c r="D193" s="3">
        <v>0</v>
      </c>
      <c r="E193" s="3">
        <v>0</v>
      </c>
      <c r="F193" s="3">
        <v>1</v>
      </c>
    </row>
    <row r="194" spans="1:6" x14ac:dyDescent="0.3">
      <c r="A194" s="3" t="s">
        <v>1541</v>
      </c>
      <c r="B194" s="3" t="s">
        <v>599</v>
      </c>
      <c r="C194" s="3">
        <v>0</v>
      </c>
      <c r="D194" s="3">
        <v>1</v>
      </c>
      <c r="E194" s="3">
        <v>0</v>
      </c>
      <c r="F194" s="3">
        <v>0</v>
      </c>
    </row>
    <row r="195" spans="1:6" x14ac:dyDescent="0.3">
      <c r="A195" s="3" t="s">
        <v>1541</v>
      </c>
      <c r="B195" s="3" t="s">
        <v>1208</v>
      </c>
      <c r="C195" s="3">
        <v>0</v>
      </c>
      <c r="D195" s="3">
        <v>0</v>
      </c>
      <c r="E195" s="3">
        <v>0</v>
      </c>
      <c r="F195" s="3">
        <v>1</v>
      </c>
    </row>
    <row r="196" spans="1:6" x14ac:dyDescent="0.3">
      <c r="A196" s="3" t="s">
        <v>1541</v>
      </c>
      <c r="B196" s="3" t="s">
        <v>1038</v>
      </c>
      <c r="C196" s="3">
        <v>0</v>
      </c>
      <c r="D196" s="3">
        <v>0</v>
      </c>
      <c r="E196" s="3">
        <v>0</v>
      </c>
      <c r="F196" s="3">
        <v>1</v>
      </c>
    </row>
    <row r="197" spans="1:6" x14ac:dyDescent="0.3">
      <c r="A197" s="3" t="s">
        <v>1541</v>
      </c>
      <c r="B197" s="3" t="s">
        <v>254</v>
      </c>
      <c r="C197" s="3">
        <v>0</v>
      </c>
      <c r="D197" s="3">
        <v>0</v>
      </c>
      <c r="E197" s="3">
        <v>1</v>
      </c>
      <c r="F197" s="3">
        <v>0</v>
      </c>
    </row>
    <row r="198" spans="1:6" x14ac:dyDescent="0.3">
      <c r="A198" s="3" t="s">
        <v>1541</v>
      </c>
      <c r="B198" s="3" t="s">
        <v>557</v>
      </c>
      <c r="C198" s="3">
        <v>0</v>
      </c>
      <c r="D198" s="3">
        <v>0</v>
      </c>
      <c r="E198" s="3">
        <v>1</v>
      </c>
      <c r="F198" s="3">
        <v>0</v>
      </c>
    </row>
    <row r="199" spans="1:6" x14ac:dyDescent="0.3">
      <c r="A199" s="3" t="s">
        <v>1541</v>
      </c>
      <c r="B199" s="3" t="s">
        <v>722</v>
      </c>
      <c r="C199" s="3">
        <v>0</v>
      </c>
      <c r="D199" s="3">
        <v>0</v>
      </c>
      <c r="E199" s="3">
        <v>0</v>
      </c>
      <c r="F199" s="3">
        <v>1</v>
      </c>
    </row>
    <row r="200" spans="1:6" x14ac:dyDescent="0.3">
      <c r="A200" s="3" t="s">
        <v>1541</v>
      </c>
      <c r="B200" s="3" t="s">
        <v>523</v>
      </c>
      <c r="C200" s="3">
        <v>0</v>
      </c>
      <c r="D200" s="3">
        <v>0</v>
      </c>
      <c r="E200" s="3">
        <v>1</v>
      </c>
      <c r="F200" s="3">
        <v>0</v>
      </c>
    </row>
    <row r="201" spans="1:6" x14ac:dyDescent="0.3">
      <c r="A201" s="3" t="s">
        <v>1541</v>
      </c>
      <c r="B201" s="3" t="s">
        <v>1014</v>
      </c>
      <c r="C201" s="3">
        <v>0</v>
      </c>
      <c r="D201" s="3">
        <v>0</v>
      </c>
      <c r="E201" s="3">
        <v>0</v>
      </c>
      <c r="F201" s="3">
        <v>1</v>
      </c>
    </row>
    <row r="202" spans="1:6" x14ac:dyDescent="0.3">
      <c r="A202" s="3" t="s">
        <v>1541</v>
      </c>
      <c r="B202" s="3" t="s">
        <v>250</v>
      </c>
      <c r="C202" s="3">
        <v>0</v>
      </c>
      <c r="D202" s="3">
        <v>0</v>
      </c>
      <c r="E202" s="3">
        <v>1</v>
      </c>
      <c r="F202" s="3">
        <v>0</v>
      </c>
    </row>
    <row r="203" spans="1:6" x14ac:dyDescent="0.3">
      <c r="A203" s="3" t="s">
        <v>1541</v>
      </c>
      <c r="B203" s="3" t="s">
        <v>769</v>
      </c>
      <c r="C203" s="3">
        <v>0</v>
      </c>
      <c r="D203" s="3">
        <v>0</v>
      </c>
      <c r="E203" s="3">
        <v>0</v>
      </c>
      <c r="F203" s="3">
        <v>1</v>
      </c>
    </row>
    <row r="204" spans="1:6" x14ac:dyDescent="0.3">
      <c r="A204" s="3" t="s">
        <v>1541</v>
      </c>
      <c r="B204" s="3" t="s">
        <v>581</v>
      </c>
      <c r="C204" s="3">
        <v>0</v>
      </c>
      <c r="D204" s="3">
        <v>0</v>
      </c>
      <c r="E204" s="3">
        <v>1</v>
      </c>
      <c r="F204" s="3">
        <v>0</v>
      </c>
    </row>
    <row r="205" spans="1:6" x14ac:dyDescent="0.3">
      <c r="A205" s="3" t="s">
        <v>1541</v>
      </c>
      <c r="B205" s="3" t="s">
        <v>862</v>
      </c>
      <c r="C205" s="3">
        <v>0</v>
      </c>
      <c r="D205" s="3">
        <v>0</v>
      </c>
      <c r="E205" s="3">
        <v>0</v>
      </c>
      <c r="F205" s="3">
        <v>1</v>
      </c>
    </row>
    <row r="206" spans="1:6" x14ac:dyDescent="0.3">
      <c r="A206" s="3" t="s">
        <v>1541</v>
      </c>
      <c r="B206" s="3" t="s">
        <v>361</v>
      </c>
      <c r="C206" s="3">
        <v>0</v>
      </c>
      <c r="D206" s="3">
        <v>0</v>
      </c>
      <c r="E206" s="3">
        <v>1</v>
      </c>
      <c r="F206" s="3">
        <v>0</v>
      </c>
    </row>
    <row r="207" spans="1:6" x14ac:dyDescent="0.3">
      <c r="A207" s="3" t="s">
        <v>1541</v>
      </c>
      <c r="B207" s="3" t="s">
        <v>817</v>
      </c>
      <c r="C207" s="3">
        <v>0</v>
      </c>
      <c r="D207" s="3">
        <v>0</v>
      </c>
      <c r="E207" s="3">
        <v>0</v>
      </c>
      <c r="F207" s="3">
        <v>1</v>
      </c>
    </row>
    <row r="208" spans="1:6" x14ac:dyDescent="0.3">
      <c r="A208" s="3" t="s">
        <v>1541</v>
      </c>
      <c r="B208" s="3" t="s">
        <v>472</v>
      </c>
      <c r="C208" s="3">
        <v>0</v>
      </c>
      <c r="D208" s="3">
        <v>0</v>
      </c>
      <c r="E208" s="3">
        <v>1</v>
      </c>
      <c r="F208" s="3">
        <v>0</v>
      </c>
    </row>
    <row r="209" spans="1:6" x14ac:dyDescent="0.3">
      <c r="A209" s="3" t="s">
        <v>1541</v>
      </c>
      <c r="B209" s="3" t="s">
        <v>242</v>
      </c>
      <c r="C209" s="3">
        <v>0</v>
      </c>
      <c r="D209" s="3">
        <v>0</v>
      </c>
      <c r="E209" s="3">
        <v>1</v>
      </c>
      <c r="F209" s="3">
        <v>0</v>
      </c>
    </row>
    <row r="210" spans="1:6" x14ac:dyDescent="0.3">
      <c r="A210" s="3" t="s">
        <v>1541</v>
      </c>
      <c r="B210" s="3" t="s">
        <v>345</v>
      </c>
      <c r="C210" s="3">
        <v>0</v>
      </c>
      <c r="D210" s="3">
        <v>0</v>
      </c>
      <c r="E210" s="3">
        <v>1</v>
      </c>
      <c r="F210" s="3">
        <v>0</v>
      </c>
    </row>
    <row r="211" spans="1:6" x14ac:dyDescent="0.3">
      <c r="A211" s="3" t="s">
        <v>1541</v>
      </c>
      <c r="B211" s="3" t="s">
        <v>308</v>
      </c>
      <c r="C211" s="3">
        <v>0</v>
      </c>
      <c r="D211" s="3">
        <v>0</v>
      </c>
      <c r="E211" s="3">
        <v>1</v>
      </c>
      <c r="F211" s="3">
        <v>0</v>
      </c>
    </row>
    <row r="212" spans="1:6" x14ac:dyDescent="0.3">
      <c r="A212" s="3" t="s">
        <v>1541</v>
      </c>
      <c r="B212" s="3" t="s">
        <v>636</v>
      </c>
      <c r="C212" s="3">
        <v>1</v>
      </c>
      <c r="D212" s="3">
        <v>0</v>
      </c>
      <c r="E212" s="3">
        <v>0</v>
      </c>
      <c r="F212" s="3">
        <v>0</v>
      </c>
    </row>
    <row r="213" spans="1:6" x14ac:dyDescent="0.3">
      <c r="A213" s="3" t="s">
        <v>1541</v>
      </c>
      <c r="B213" s="3" t="s">
        <v>1296</v>
      </c>
      <c r="C213" s="3">
        <v>0</v>
      </c>
      <c r="D213" s="3">
        <v>0</v>
      </c>
      <c r="E213" s="3">
        <v>0</v>
      </c>
      <c r="F213" s="3">
        <v>1</v>
      </c>
    </row>
    <row r="214" spans="1:6" x14ac:dyDescent="0.3">
      <c r="A214" s="3" t="s">
        <v>1541</v>
      </c>
      <c r="B214" s="3" t="s">
        <v>262</v>
      </c>
      <c r="C214" s="3">
        <v>0</v>
      </c>
      <c r="D214" s="3">
        <v>0</v>
      </c>
      <c r="E214" s="3">
        <v>1</v>
      </c>
      <c r="F214" s="3">
        <v>0</v>
      </c>
    </row>
    <row r="215" spans="1:6" x14ac:dyDescent="0.3">
      <c r="A215" s="3" t="s">
        <v>1541</v>
      </c>
      <c r="B215" s="3" t="s">
        <v>1287</v>
      </c>
      <c r="C215" s="3">
        <v>0</v>
      </c>
      <c r="D215" s="3">
        <v>0</v>
      </c>
      <c r="E215" s="3">
        <v>0</v>
      </c>
      <c r="F215" s="3">
        <v>1</v>
      </c>
    </row>
    <row r="216" spans="1:6" x14ac:dyDescent="0.3">
      <c r="A216" s="3" t="s">
        <v>1541</v>
      </c>
      <c r="B216" s="3" t="s">
        <v>1443</v>
      </c>
      <c r="C216" s="3">
        <v>0</v>
      </c>
      <c r="D216" s="3">
        <v>0</v>
      </c>
      <c r="E216" s="3">
        <v>0</v>
      </c>
      <c r="F216" s="3">
        <v>1</v>
      </c>
    </row>
    <row r="217" spans="1:6" x14ac:dyDescent="0.3">
      <c r="A217" s="3" t="s">
        <v>1541</v>
      </c>
      <c r="B217" s="3" t="s">
        <v>773</v>
      </c>
      <c r="C217" s="3">
        <v>0</v>
      </c>
      <c r="D217" s="3">
        <v>0</v>
      </c>
      <c r="E217" s="3">
        <v>0</v>
      </c>
      <c r="F217" s="3">
        <v>1</v>
      </c>
    </row>
    <row r="218" spans="1:6" x14ac:dyDescent="0.3">
      <c r="A218" s="3" t="s">
        <v>1541</v>
      </c>
      <c r="B218" s="3" t="s">
        <v>1164</v>
      </c>
      <c r="C218" s="3">
        <v>0</v>
      </c>
      <c r="D218" s="3">
        <v>0</v>
      </c>
      <c r="E218" s="3">
        <v>0</v>
      </c>
      <c r="F218" s="3">
        <v>1</v>
      </c>
    </row>
    <row r="219" spans="1:6" x14ac:dyDescent="0.3">
      <c r="A219" s="3" t="s">
        <v>1541</v>
      </c>
      <c r="B219" s="3" t="s">
        <v>1112</v>
      </c>
      <c r="C219" s="3">
        <v>0</v>
      </c>
      <c r="D219" s="3">
        <v>0</v>
      </c>
      <c r="E219" s="3">
        <v>0</v>
      </c>
      <c r="F219" s="3">
        <v>1</v>
      </c>
    </row>
    <row r="220" spans="1:6" x14ac:dyDescent="0.3">
      <c r="A220" s="3" t="s">
        <v>1541</v>
      </c>
      <c r="B220" s="3" t="s">
        <v>487</v>
      </c>
      <c r="C220" s="3">
        <v>0</v>
      </c>
      <c r="D220" s="3">
        <v>0</v>
      </c>
      <c r="E220" s="3">
        <v>1</v>
      </c>
      <c r="F220" s="3">
        <v>0</v>
      </c>
    </row>
    <row r="221" spans="1:6" x14ac:dyDescent="0.3">
      <c r="A221" s="3" t="s">
        <v>1541</v>
      </c>
      <c r="B221" s="3" t="s">
        <v>813</v>
      </c>
      <c r="C221" s="3">
        <v>0</v>
      </c>
      <c r="D221" s="3">
        <v>0</v>
      </c>
      <c r="E221" s="3">
        <v>0</v>
      </c>
      <c r="F221" s="3">
        <v>1</v>
      </c>
    </row>
    <row r="222" spans="1:6" x14ac:dyDescent="0.3">
      <c r="A222" s="3" t="s">
        <v>1541</v>
      </c>
      <c r="B222" s="3" t="s">
        <v>212</v>
      </c>
      <c r="C222" s="3">
        <v>0</v>
      </c>
      <c r="D222" s="3">
        <v>0</v>
      </c>
      <c r="E222" s="3">
        <v>1</v>
      </c>
      <c r="F222" s="3">
        <v>0</v>
      </c>
    </row>
    <row r="223" spans="1:6" x14ac:dyDescent="0.3">
      <c r="A223" s="3" t="s">
        <v>1541</v>
      </c>
      <c r="B223" s="3" t="s">
        <v>1381</v>
      </c>
      <c r="C223" s="3">
        <v>0</v>
      </c>
      <c r="D223" s="3">
        <v>0</v>
      </c>
      <c r="E223" s="3">
        <v>0</v>
      </c>
      <c r="F223" s="3">
        <v>1</v>
      </c>
    </row>
    <row r="224" spans="1:6" x14ac:dyDescent="0.3">
      <c r="A224" s="3" t="s">
        <v>1541</v>
      </c>
      <c r="B224" s="3" t="s">
        <v>1358</v>
      </c>
      <c r="C224" s="3">
        <v>0</v>
      </c>
      <c r="D224" s="3">
        <v>0</v>
      </c>
      <c r="E224" s="3">
        <v>0</v>
      </c>
      <c r="F224" s="3">
        <v>1</v>
      </c>
    </row>
    <row r="225" spans="1:6" x14ac:dyDescent="0.3">
      <c r="A225" s="3" t="s">
        <v>1541</v>
      </c>
      <c r="B225" s="3" t="s">
        <v>1488</v>
      </c>
      <c r="C225" s="3">
        <v>0</v>
      </c>
      <c r="D225" s="3">
        <v>0</v>
      </c>
      <c r="E225" s="3">
        <v>0</v>
      </c>
      <c r="F225" s="3">
        <v>1</v>
      </c>
    </row>
    <row r="226" spans="1:6" x14ac:dyDescent="0.3">
      <c r="A226" s="3" t="s">
        <v>1541</v>
      </c>
      <c r="B226" s="3" t="s">
        <v>990</v>
      </c>
      <c r="C226" s="3">
        <v>0</v>
      </c>
      <c r="D226" s="3">
        <v>0</v>
      </c>
      <c r="E226" s="3">
        <v>0</v>
      </c>
      <c r="F226" s="3">
        <v>1</v>
      </c>
    </row>
    <row r="227" spans="1:6" x14ac:dyDescent="0.3">
      <c r="A227" s="3" t="s">
        <v>1541</v>
      </c>
      <c r="B227" s="3" t="s">
        <v>237</v>
      </c>
      <c r="C227" s="3">
        <v>0</v>
      </c>
      <c r="D227" s="3">
        <v>0</v>
      </c>
      <c r="E227" s="3">
        <v>1</v>
      </c>
      <c r="F227" s="3">
        <v>0</v>
      </c>
    </row>
    <row r="228" spans="1:6" x14ac:dyDescent="0.3">
      <c r="A228" s="3" t="s">
        <v>1541</v>
      </c>
      <c r="B228" s="3" t="s">
        <v>1335</v>
      </c>
      <c r="C228" s="3">
        <v>0</v>
      </c>
      <c r="D228" s="3">
        <v>0</v>
      </c>
      <c r="E228" s="3">
        <v>0</v>
      </c>
      <c r="F228" s="3">
        <v>1</v>
      </c>
    </row>
    <row r="229" spans="1:6" x14ac:dyDescent="0.3">
      <c r="A229" s="3" t="s">
        <v>1541</v>
      </c>
      <c r="B229" s="3" t="s">
        <v>1179</v>
      </c>
      <c r="C229" s="3">
        <v>0</v>
      </c>
      <c r="D229" s="3">
        <v>0</v>
      </c>
      <c r="E229" s="3">
        <v>0</v>
      </c>
      <c r="F229" s="3">
        <v>1</v>
      </c>
    </row>
    <row r="230" spans="1:6" x14ac:dyDescent="0.3">
      <c r="A230" s="3" t="s">
        <v>1541</v>
      </c>
      <c r="B230" s="3" t="s">
        <v>1135</v>
      </c>
      <c r="C230" s="3">
        <v>0</v>
      </c>
      <c r="D230" s="3">
        <v>0</v>
      </c>
      <c r="E230" s="3">
        <v>0</v>
      </c>
      <c r="F230" s="3">
        <v>1</v>
      </c>
    </row>
    <row r="231" spans="1:6" x14ac:dyDescent="0.3">
      <c r="A231" s="3" t="s">
        <v>1541</v>
      </c>
      <c r="B231" s="3" t="s">
        <v>1048</v>
      </c>
      <c r="C231" s="3">
        <v>0</v>
      </c>
      <c r="D231" s="3">
        <v>0</v>
      </c>
      <c r="E231" s="3">
        <v>0</v>
      </c>
      <c r="F231" s="3">
        <v>1</v>
      </c>
    </row>
    <row r="232" spans="1:6" x14ac:dyDescent="0.3">
      <c r="A232" s="3" t="s">
        <v>1541</v>
      </c>
      <c r="B232" s="3" t="s">
        <v>477</v>
      </c>
      <c r="C232" s="3">
        <v>0</v>
      </c>
      <c r="D232" s="3">
        <v>0</v>
      </c>
      <c r="E232" s="3">
        <v>1</v>
      </c>
      <c r="F232" s="3">
        <v>0</v>
      </c>
    </row>
    <row r="233" spans="1:6" x14ac:dyDescent="0.3">
      <c r="A233" s="3" t="s">
        <v>1541</v>
      </c>
      <c r="B233" s="3" t="s">
        <v>448</v>
      </c>
      <c r="C233" s="3">
        <v>0</v>
      </c>
      <c r="D233" s="3">
        <v>0</v>
      </c>
      <c r="E233" s="3">
        <v>1</v>
      </c>
      <c r="F233" s="3">
        <v>0</v>
      </c>
    </row>
    <row r="234" spans="1:6" x14ac:dyDescent="0.3">
      <c r="A234" s="3" t="s">
        <v>1541</v>
      </c>
      <c r="B234" s="3" t="s">
        <v>528</v>
      </c>
      <c r="C234" s="3">
        <v>0</v>
      </c>
      <c r="D234" s="3">
        <v>0</v>
      </c>
      <c r="E234" s="3">
        <v>1</v>
      </c>
      <c r="F234" s="3">
        <v>0</v>
      </c>
    </row>
    <row r="235" spans="1:6" x14ac:dyDescent="0.3">
      <c r="A235" s="3" t="s">
        <v>1541</v>
      </c>
      <c r="B235" s="3" t="s">
        <v>1056</v>
      </c>
      <c r="C235" s="3">
        <v>0</v>
      </c>
      <c r="D235" s="3">
        <v>0</v>
      </c>
      <c r="E235" s="3">
        <v>0</v>
      </c>
      <c r="F235" s="3">
        <v>1</v>
      </c>
    </row>
    <row r="236" spans="1:6" x14ac:dyDescent="0.3">
      <c r="A236" s="3" t="s">
        <v>1541</v>
      </c>
      <c r="B236" s="3" t="s">
        <v>1458</v>
      </c>
      <c r="C236" s="3">
        <v>0</v>
      </c>
      <c r="D236" s="3">
        <v>0</v>
      </c>
      <c r="E236" s="3">
        <v>0</v>
      </c>
      <c r="F236" s="3">
        <v>1</v>
      </c>
    </row>
    <row r="237" spans="1:6" x14ac:dyDescent="0.3">
      <c r="A237" s="3" t="s">
        <v>1541</v>
      </c>
      <c r="B237" s="3" t="s">
        <v>958</v>
      </c>
      <c r="C237" s="3">
        <v>0</v>
      </c>
      <c r="D237" s="3">
        <v>0</v>
      </c>
      <c r="E237" s="3">
        <v>0</v>
      </c>
      <c r="F237" s="3">
        <v>1</v>
      </c>
    </row>
    <row r="238" spans="1:6" x14ac:dyDescent="0.3">
      <c r="A238" s="3" t="s">
        <v>1541</v>
      </c>
      <c r="B238" s="3" t="s">
        <v>375</v>
      </c>
      <c r="C238" s="3">
        <v>0</v>
      </c>
      <c r="D238" s="3">
        <v>0</v>
      </c>
      <c r="E238" s="3">
        <v>1</v>
      </c>
      <c r="F238" s="3">
        <v>0</v>
      </c>
    </row>
    <row r="239" spans="1:6" x14ac:dyDescent="0.3">
      <c r="A239" s="3" t="s">
        <v>1541</v>
      </c>
      <c r="B239" s="3" t="s">
        <v>461</v>
      </c>
      <c r="C239" s="3">
        <v>0</v>
      </c>
      <c r="D239" s="3">
        <v>0</v>
      </c>
      <c r="E239" s="3">
        <v>1</v>
      </c>
      <c r="F239" s="3">
        <v>0</v>
      </c>
    </row>
    <row r="240" spans="1:6" x14ac:dyDescent="0.3">
      <c r="A240" s="3" t="s">
        <v>1541</v>
      </c>
      <c r="B240" s="3" t="s">
        <v>1448</v>
      </c>
      <c r="C240" s="3">
        <v>0</v>
      </c>
      <c r="D240" s="3">
        <v>0</v>
      </c>
      <c r="E240" s="3">
        <v>0</v>
      </c>
      <c r="F240" s="3">
        <v>1</v>
      </c>
    </row>
    <row r="241" spans="1:6" x14ac:dyDescent="0.3">
      <c r="A241" s="3" t="s">
        <v>1541</v>
      </c>
      <c r="B241" s="3" t="s">
        <v>1473</v>
      </c>
      <c r="C241" s="3">
        <v>0</v>
      </c>
      <c r="D241" s="3">
        <v>0</v>
      </c>
      <c r="E241" s="3">
        <v>0</v>
      </c>
      <c r="F241" s="3">
        <v>1</v>
      </c>
    </row>
    <row r="242" spans="1:6" x14ac:dyDescent="0.3">
      <c r="A242" s="3" t="s">
        <v>1541</v>
      </c>
      <c r="B242" s="3" t="s">
        <v>296</v>
      </c>
      <c r="C242" s="3">
        <v>0</v>
      </c>
      <c r="D242" s="3">
        <v>0</v>
      </c>
      <c r="E242" s="3">
        <v>1</v>
      </c>
      <c r="F242" s="3">
        <v>0</v>
      </c>
    </row>
    <row r="243" spans="1:6" x14ac:dyDescent="0.3">
      <c r="A243" s="3" t="s">
        <v>1541</v>
      </c>
      <c r="B243" s="3" t="s">
        <v>893</v>
      </c>
      <c r="C243" s="3">
        <v>0</v>
      </c>
      <c r="D243" s="3">
        <v>0</v>
      </c>
      <c r="E243" s="3">
        <v>0</v>
      </c>
      <c r="F243" s="3">
        <v>1</v>
      </c>
    </row>
    <row r="244" spans="1:6" x14ac:dyDescent="0.3">
      <c r="A244" s="3" t="s">
        <v>1541</v>
      </c>
      <c r="B244" s="3" t="s">
        <v>939</v>
      </c>
      <c r="C244" s="3">
        <v>0</v>
      </c>
      <c r="D244" s="3">
        <v>0</v>
      </c>
      <c r="E244" s="3">
        <v>0</v>
      </c>
      <c r="F244" s="3">
        <v>1</v>
      </c>
    </row>
    <row r="245" spans="1:6" x14ac:dyDescent="0.3">
      <c r="A245" s="3" t="s">
        <v>1541</v>
      </c>
      <c r="B245" s="3" t="s">
        <v>1122</v>
      </c>
      <c r="C245" s="3">
        <v>0</v>
      </c>
      <c r="D245" s="3">
        <v>0</v>
      </c>
      <c r="E245" s="3">
        <v>0</v>
      </c>
      <c r="F245" s="3">
        <v>1</v>
      </c>
    </row>
    <row r="246" spans="1:6" x14ac:dyDescent="0.3">
      <c r="A246" s="3" t="s">
        <v>1541</v>
      </c>
      <c r="B246" s="3" t="s">
        <v>754</v>
      </c>
      <c r="C246" s="3">
        <v>0</v>
      </c>
      <c r="D246" s="3">
        <v>0</v>
      </c>
      <c r="E246" s="3">
        <v>0</v>
      </c>
      <c r="F246" s="3">
        <v>1</v>
      </c>
    </row>
    <row r="247" spans="1:6" x14ac:dyDescent="0.3">
      <c r="A247" s="3" t="s">
        <v>1541</v>
      </c>
      <c r="B247" s="3" t="s">
        <v>1236</v>
      </c>
      <c r="C247" s="3">
        <v>0</v>
      </c>
      <c r="D247" s="3">
        <v>0</v>
      </c>
      <c r="E247" s="3">
        <v>0</v>
      </c>
      <c r="F247" s="3">
        <v>1</v>
      </c>
    </row>
    <row r="248" spans="1:6" x14ac:dyDescent="0.3">
      <c r="A248" s="3" t="s">
        <v>1541</v>
      </c>
      <c r="B248" s="3" t="s">
        <v>663</v>
      </c>
      <c r="C248" s="3">
        <v>1</v>
      </c>
      <c r="D248" s="3">
        <v>0</v>
      </c>
      <c r="E248" s="3">
        <v>0</v>
      </c>
      <c r="F248" s="3">
        <v>0</v>
      </c>
    </row>
    <row r="249" spans="1:6" x14ac:dyDescent="0.3">
      <c r="A249" s="3" t="s">
        <v>1541</v>
      </c>
      <c r="B249" s="3" t="s">
        <v>1126</v>
      </c>
      <c r="C249" s="3">
        <v>0</v>
      </c>
      <c r="D249" s="3">
        <v>0</v>
      </c>
      <c r="E249" s="3">
        <v>0</v>
      </c>
      <c r="F249" s="3">
        <v>1</v>
      </c>
    </row>
    <row r="250" spans="1:6" x14ac:dyDescent="0.3">
      <c r="A250" s="3" t="s">
        <v>1541</v>
      </c>
      <c r="B250" s="3" t="s">
        <v>290</v>
      </c>
      <c r="C250" s="3">
        <v>0</v>
      </c>
      <c r="D250" s="3">
        <v>0</v>
      </c>
      <c r="E250" s="3">
        <v>1</v>
      </c>
      <c r="F250" s="3">
        <v>0</v>
      </c>
    </row>
    <row r="251" spans="1:6" x14ac:dyDescent="0.3">
      <c r="A251" s="3" t="s">
        <v>1541</v>
      </c>
      <c r="B251" s="3" t="s">
        <v>1262</v>
      </c>
      <c r="C251" s="3">
        <v>0</v>
      </c>
      <c r="D251" s="3">
        <v>0</v>
      </c>
      <c r="E251" s="3">
        <v>0</v>
      </c>
      <c r="F251" s="3">
        <v>1</v>
      </c>
    </row>
    <row r="252" spans="1:6" x14ac:dyDescent="0.3">
      <c r="A252" s="3" t="s">
        <v>1541</v>
      </c>
      <c r="B252" s="3" t="s">
        <v>366</v>
      </c>
      <c r="C252" s="3">
        <v>0</v>
      </c>
      <c r="D252" s="3">
        <v>0</v>
      </c>
      <c r="E252" s="3">
        <v>1</v>
      </c>
      <c r="F252" s="3">
        <v>0</v>
      </c>
    </row>
    <row r="253" spans="1:6" x14ac:dyDescent="0.3">
      <c r="A253" s="3" t="s">
        <v>1541</v>
      </c>
      <c r="B253" s="3" t="s">
        <v>571</v>
      </c>
      <c r="C253" s="3">
        <v>0</v>
      </c>
      <c r="D253" s="3">
        <v>0</v>
      </c>
      <c r="E253" s="3">
        <v>1</v>
      </c>
      <c r="F253" s="3">
        <v>0</v>
      </c>
    </row>
    <row r="254" spans="1:6" x14ac:dyDescent="0.3">
      <c r="A254" s="3" t="s">
        <v>1541</v>
      </c>
      <c r="B254" s="3" t="s">
        <v>1217</v>
      </c>
      <c r="C254" s="3">
        <v>0</v>
      </c>
      <c r="D254" s="3">
        <v>0</v>
      </c>
      <c r="E254" s="3">
        <v>0</v>
      </c>
      <c r="F254" s="3">
        <v>1</v>
      </c>
    </row>
    <row r="255" spans="1:6" x14ac:dyDescent="0.3">
      <c r="A255" s="3" t="s">
        <v>1541</v>
      </c>
      <c r="B255" s="3" t="s">
        <v>642</v>
      </c>
      <c r="C255" s="3">
        <v>1</v>
      </c>
      <c r="D255" s="3">
        <v>0</v>
      </c>
      <c r="E255" s="3">
        <v>0</v>
      </c>
      <c r="F255" s="3">
        <v>0</v>
      </c>
    </row>
    <row r="256" spans="1:6" x14ac:dyDescent="0.3">
      <c r="A256" s="3" t="s">
        <v>1541</v>
      </c>
      <c r="B256" s="3" t="s">
        <v>567</v>
      </c>
      <c r="C256" s="3">
        <v>0</v>
      </c>
      <c r="D256" s="3">
        <v>0</v>
      </c>
      <c r="E256" s="3">
        <v>1</v>
      </c>
      <c r="F256" s="3">
        <v>0</v>
      </c>
    </row>
    <row r="257" spans="1:6" x14ac:dyDescent="0.3">
      <c r="A257" s="3" t="s">
        <v>1541</v>
      </c>
      <c r="B257" s="3" t="s">
        <v>718</v>
      </c>
      <c r="C257" s="3">
        <v>0</v>
      </c>
      <c r="D257" s="3">
        <v>0</v>
      </c>
      <c r="E257" s="3">
        <v>0</v>
      </c>
      <c r="F257" s="3">
        <v>1</v>
      </c>
    </row>
    <row r="258" spans="1:6" x14ac:dyDescent="0.3">
      <c r="A258" s="3" t="s">
        <v>1541</v>
      </c>
      <c r="B258" s="3" t="s">
        <v>847</v>
      </c>
      <c r="C258" s="3">
        <v>0</v>
      </c>
      <c r="D258" s="3">
        <v>0</v>
      </c>
      <c r="E258" s="3">
        <v>0</v>
      </c>
      <c r="F258" s="3">
        <v>1</v>
      </c>
    </row>
    <row r="259" spans="1:6" x14ac:dyDescent="0.3">
      <c r="A259" s="3" t="s">
        <v>1541</v>
      </c>
      <c r="B259" s="3" t="s">
        <v>189</v>
      </c>
      <c r="C259" s="3">
        <v>0</v>
      </c>
      <c r="D259" s="3">
        <v>0</v>
      </c>
      <c r="E259" s="3">
        <v>1</v>
      </c>
      <c r="F259" s="3">
        <v>0</v>
      </c>
    </row>
    <row r="260" spans="1:6" x14ac:dyDescent="0.3">
      <c r="A260" s="3" t="s">
        <v>1541</v>
      </c>
      <c r="B260" s="3" t="s">
        <v>1115</v>
      </c>
      <c r="C260" s="3">
        <v>0</v>
      </c>
      <c r="D260" s="3">
        <v>0</v>
      </c>
      <c r="E260" s="3">
        <v>0</v>
      </c>
      <c r="F260" s="3">
        <v>1</v>
      </c>
    </row>
    <row r="261" spans="1:6" x14ac:dyDescent="0.3">
      <c r="A261" s="3" t="s">
        <v>1541</v>
      </c>
      <c r="B261" s="3" t="s">
        <v>1088</v>
      </c>
      <c r="C261" s="3">
        <v>0</v>
      </c>
      <c r="D261" s="3">
        <v>0</v>
      </c>
      <c r="E261" s="3">
        <v>0</v>
      </c>
      <c r="F261" s="3">
        <v>1</v>
      </c>
    </row>
    <row r="262" spans="1:6" x14ac:dyDescent="0.3">
      <c r="A262" s="3" t="s">
        <v>1541</v>
      </c>
      <c r="B262" s="3" t="s">
        <v>764</v>
      </c>
      <c r="C262" s="3">
        <v>0</v>
      </c>
      <c r="D262" s="3">
        <v>0</v>
      </c>
      <c r="E262" s="3">
        <v>0</v>
      </c>
      <c r="F262" s="3">
        <v>1</v>
      </c>
    </row>
    <row r="263" spans="1:6" x14ac:dyDescent="0.3">
      <c r="A263" s="3" t="s">
        <v>1541</v>
      </c>
      <c r="B263" s="3" t="s">
        <v>919</v>
      </c>
      <c r="C263" s="3">
        <v>0</v>
      </c>
      <c r="D263" s="3">
        <v>0</v>
      </c>
      <c r="E263" s="3">
        <v>0</v>
      </c>
      <c r="F263" s="3">
        <v>1</v>
      </c>
    </row>
    <row r="264" spans="1:6" x14ac:dyDescent="0.3">
      <c r="A264" s="3" t="s">
        <v>1541</v>
      </c>
      <c r="B264" s="3" t="s">
        <v>1301</v>
      </c>
      <c r="C264" s="3">
        <v>0</v>
      </c>
      <c r="D264" s="3">
        <v>0</v>
      </c>
      <c r="E264" s="3">
        <v>0</v>
      </c>
      <c r="F264" s="3">
        <v>1</v>
      </c>
    </row>
    <row r="265" spans="1:6" x14ac:dyDescent="0.3">
      <c r="A265" s="3" t="s">
        <v>1541</v>
      </c>
      <c r="B265" s="3" t="s">
        <v>610</v>
      </c>
      <c r="C265" s="3">
        <v>1</v>
      </c>
      <c r="D265" s="3">
        <v>0</v>
      </c>
      <c r="E265" s="3">
        <v>0</v>
      </c>
      <c r="F265" s="3">
        <v>0</v>
      </c>
    </row>
    <row r="266" spans="1:6" x14ac:dyDescent="0.3">
      <c r="A266" s="3" t="s">
        <v>1541</v>
      </c>
      <c r="B266" s="3" t="s">
        <v>1399</v>
      </c>
      <c r="C266" s="3">
        <v>0</v>
      </c>
      <c r="D266" s="3">
        <v>0</v>
      </c>
      <c r="E266" s="3">
        <v>0</v>
      </c>
      <c r="F266" s="3">
        <v>1</v>
      </c>
    </row>
    <row r="267" spans="1:6" x14ac:dyDescent="0.3">
      <c r="A267" s="3" t="s">
        <v>1541</v>
      </c>
      <c r="B267" s="3" t="s">
        <v>1018</v>
      </c>
      <c r="C267" s="3">
        <v>0</v>
      </c>
      <c r="D267" s="3">
        <v>0</v>
      </c>
      <c r="E267" s="3">
        <v>0</v>
      </c>
      <c r="F267" s="3">
        <v>1</v>
      </c>
    </row>
    <row r="268" spans="1:6" x14ac:dyDescent="0.3">
      <c r="A268" s="3" t="s">
        <v>1541</v>
      </c>
      <c r="B268" s="3" t="s">
        <v>323</v>
      </c>
      <c r="C268" s="3">
        <v>0</v>
      </c>
      <c r="D268" s="3">
        <v>0</v>
      </c>
      <c r="E268" s="3">
        <v>1</v>
      </c>
      <c r="F268" s="3">
        <v>0</v>
      </c>
    </row>
    <row r="269" spans="1:6" x14ac:dyDescent="0.3">
      <c r="A269" s="3" t="s">
        <v>1541</v>
      </c>
      <c r="B269" s="3" t="s">
        <v>1284</v>
      </c>
      <c r="C269" s="3">
        <v>0</v>
      </c>
      <c r="D269" s="3">
        <v>0</v>
      </c>
      <c r="E269" s="3">
        <v>0</v>
      </c>
      <c r="F269" s="3">
        <v>1</v>
      </c>
    </row>
    <row r="270" spans="1:6" x14ac:dyDescent="0.3">
      <c r="A270" s="3" t="s">
        <v>1541</v>
      </c>
      <c r="B270" s="3" t="s">
        <v>1193</v>
      </c>
      <c r="C270" s="3">
        <v>0</v>
      </c>
      <c r="D270" s="3">
        <v>0</v>
      </c>
      <c r="E270" s="3">
        <v>0</v>
      </c>
      <c r="F270" s="3">
        <v>1</v>
      </c>
    </row>
    <row r="271" spans="1:6" x14ac:dyDescent="0.3">
      <c r="A271" s="3" t="s">
        <v>1541</v>
      </c>
      <c r="B271" s="3" t="s">
        <v>1290</v>
      </c>
      <c r="C271" s="3">
        <v>0</v>
      </c>
      <c r="D271" s="3">
        <v>0</v>
      </c>
      <c r="E271" s="3">
        <v>0</v>
      </c>
      <c r="F271" s="3">
        <v>1</v>
      </c>
    </row>
    <row r="272" spans="1:6" x14ac:dyDescent="0.3">
      <c r="A272" s="3" t="s">
        <v>1541</v>
      </c>
      <c r="B272" s="3" t="s">
        <v>1212</v>
      </c>
      <c r="C272" s="3">
        <v>0</v>
      </c>
      <c r="D272" s="3">
        <v>0</v>
      </c>
      <c r="E272" s="3">
        <v>0</v>
      </c>
      <c r="F272" s="3">
        <v>1</v>
      </c>
    </row>
    <row r="273" spans="1:6" x14ac:dyDescent="0.3">
      <c r="A273" s="3" t="s">
        <v>1541</v>
      </c>
      <c r="B273" s="3" t="s">
        <v>879</v>
      </c>
      <c r="C273" s="3">
        <v>0</v>
      </c>
      <c r="D273" s="3">
        <v>0</v>
      </c>
      <c r="E273" s="3">
        <v>0</v>
      </c>
      <c r="F273" s="3">
        <v>1</v>
      </c>
    </row>
    <row r="274" spans="1:6" x14ac:dyDescent="0.3">
      <c r="A274" s="3" t="s">
        <v>1541</v>
      </c>
      <c r="B274" s="3" t="s">
        <v>691</v>
      </c>
      <c r="C274" s="3">
        <v>0</v>
      </c>
      <c r="D274" s="3">
        <v>0</v>
      </c>
      <c r="E274" s="3">
        <v>0</v>
      </c>
      <c r="F274" s="3">
        <v>1</v>
      </c>
    </row>
    <row r="275" spans="1:6" x14ac:dyDescent="0.3">
      <c r="A275" s="3" t="s">
        <v>1541</v>
      </c>
      <c r="B275" s="3" t="s">
        <v>1001</v>
      </c>
      <c r="C275" s="3">
        <v>0</v>
      </c>
      <c r="D275" s="3">
        <v>0</v>
      </c>
      <c r="E275" s="3">
        <v>0</v>
      </c>
      <c r="F275" s="3">
        <v>1</v>
      </c>
    </row>
    <row r="276" spans="1:6" x14ac:dyDescent="0.3">
      <c r="A276" s="3" t="s">
        <v>1541</v>
      </c>
      <c r="B276" s="3" t="s">
        <v>1415</v>
      </c>
      <c r="C276" s="3">
        <v>0</v>
      </c>
      <c r="D276" s="3">
        <v>0</v>
      </c>
      <c r="E276" s="3">
        <v>0</v>
      </c>
      <c r="F276" s="3">
        <v>1</v>
      </c>
    </row>
    <row r="277" spans="1:6" x14ac:dyDescent="0.3">
      <c r="A277" s="3" t="s">
        <v>1541</v>
      </c>
      <c r="B277" s="3" t="s">
        <v>857</v>
      </c>
      <c r="C277" s="3">
        <v>0</v>
      </c>
      <c r="D277" s="3">
        <v>0</v>
      </c>
      <c r="E277" s="3">
        <v>0</v>
      </c>
      <c r="F277" s="3">
        <v>1</v>
      </c>
    </row>
    <row r="278" spans="1:6" x14ac:dyDescent="0.3">
      <c r="A278" s="3" t="s">
        <v>1541</v>
      </c>
      <c r="B278" s="3" t="s">
        <v>518</v>
      </c>
      <c r="C278" s="3">
        <v>0</v>
      </c>
      <c r="D278" s="3">
        <v>0</v>
      </c>
      <c r="E278" s="3">
        <v>1</v>
      </c>
      <c r="F278" s="3">
        <v>0</v>
      </c>
    </row>
    <row r="279" spans="1:6" x14ac:dyDescent="0.3">
      <c r="A279" s="3" t="s">
        <v>1541</v>
      </c>
      <c r="B279" s="3" t="s">
        <v>1106</v>
      </c>
      <c r="C279" s="3">
        <v>0</v>
      </c>
      <c r="D279" s="3">
        <v>0</v>
      </c>
      <c r="E279" s="3">
        <v>0</v>
      </c>
      <c r="F279" s="3">
        <v>1</v>
      </c>
    </row>
    <row r="280" spans="1:6" x14ac:dyDescent="0.3">
      <c r="A280" s="3" t="s">
        <v>1541</v>
      </c>
      <c r="B280" s="3" t="s">
        <v>842</v>
      </c>
      <c r="C280" s="3">
        <v>0</v>
      </c>
      <c r="D280" s="3">
        <v>0</v>
      </c>
      <c r="E280" s="3">
        <v>0</v>
      </c>
      <c r="F280" s="3">
        <v>1</v>
      </c>
    </row>
    <row r="281" spans="1:6" x14ac:dyDescent="0.3">
      <c r="A281" s="3" t="s">
        <v>1541</v>
      </c>
      <c r="B281" s="3" t="s">
        <v>668</v>
      </c>
      <c r="C281" s="3">
        <v>0</v>
      </c>
      <c r="D281" s="3">
        <v>0</v>
      </c>
      <c r="E281" s="3">
        <v>0</v>
      </c>
      <c r="F281" s="3">
        <v>1</v>
      </c>
    </row>
    <row r="282" spans="1:6" x14ac:dyDescent="0.3">
      <c r="A282" s="3" t="s">
        <v>1541</v>
      </c>
      <c r="B282" s="3" t="s">
        <v>272</v>
      </c>
      <c r="C282" s="3">
        <v>0</v>
      </c>
      <c r="D282" s="3">
        <v>0</v>
      </c>
      <c r="E282" s="3">
        <v>1</v>
      </c>
      <c r="F282" s="3">
        <v>0</v>
      </c>
    </row>
    <row r="283" spans="1:6" x14ac:dyDescent="0.3">
      <c r="A283" s="3" t="s">
        <v>1541</v>
      </c>
      <c r="B283" s="3" t="s">
        <v>1059</v>
      </c>
      <c r="C283" s="3">
        <v>0</v>
      </c>
      <c r="D283" s="3">
        <v>0</v>
      </c>
      <c r="E283" s="3">
        <v>0</v>
      </c>
      <c r="F283" s="3">
        <v>1</v>
      </c>
    </row>
    <row r="284" spans="1:6" x14ac:dyDescent="0.3">
      <c r="A284" s="3" t="s">
        <v>1541</v>
      </c>
      <c r="B284" s="3" t="s">
        <v>1428</v>
      </c>
      <c r="C284" s="3">
        <v>0</v>
      </c>
      <c r="D284" s="3">
        <v>0</v>
      </c>
      <c r="E284" s="3">
        <v>0</v>
      </c>
      <c r="F284" s="3">
        <v>1</v>
      </c>
    </row>
    <row r="285" spans="1:6" x14ac:dyDescent="0.3">
      <c r="A285" s="3" t="s">
        <v>1541</v>
      </c>
      <c r="B285" s="3" t="s">
        <v>1407</v>
      </c>
      <c r="C285" s="3">
        <v>0</v>
      </c>
      <c r="D285" s="3">
        <v>0</v>
      </c>
      <c r="E285" s="3">
        <v>0</v>
      </c>
      <c r="F285" s="3">
        <v>1</v>
      </c>
    </row>
    <row r="286" spans="1:6" x14ac:dyDescent="0.3">
      <c r="A286" s="3" t="s">
        <v>1541</v>
      </c>
      <c r="B286" s="3" t="s">
        <v>204</v>
      </c>
      <c r="C286" s="3">
        <v>0</v>
      </c>
      <c r="D286" s="3">
        <v>0</v>
      </c>
      <c r="E286" s="3">
        <v>1</v>
      </c>
      <c r="F286" s="3">
        <v>0</v>
      </c>
    </row>
    <row r="287" spans="1:6" x14ac:dyDescent="0.3">
      <c r="A287" s="3" t="s">
        <v>1541</v>
      </c>
      <c r="B287" s="3" t="s">
        <v>1309</v>
      </c>
      <c r="C287" s="3">
        <v>0</v>
      </c>
      <c r="D287" s="3">
        <v>0</v>
      </c>
      <c r="E287" s="3">
        <v>0</v>
      </c>
      <c r="F287" s="3">
        <v>1</v>
      </c>
    </row>
    <row r="288" spans="1:6" x14ac:dyDescent="0.3">
      <c r="A288" s="3" t="s">
        <v>1541</v>
      </c>
      <c r="B288" s="3" t="s">
        <v>505</v>
      </c>
      <c r="C288" s="3">
        <v>0</v>
      </c>
      <c r="D288" s="3">
        <v>0</v>
      </c>
      <c r="E288" s="3">
        <v>1</v>
      </c>
      <c r="F288" s="3">
        <v>0</v>
      </c>
    </row>
    <row r="289" spans="1:6" x14ac:dyDescent="0.3">
      <c r="A289" s="3" t="s">
        <v>1541</v>
      </c>
      <c r="B289" s="3" t="s">
        <v>350</v>
      </c>
      <c r="C289" s="3">
        <v>0</v>
      </c>
      <c r="D289" s="3">
        <v>0</v>
      </c>
      <c r="E289" s="3">
        <v>1</v>
      </c>
      <c r="F289" s="3">
        <v>0</v>
      </c>
    </row>
    <row r="290" spans="1:6" x14ac:dyDescent="0.3">
      <c r="A290" s="3" t="s">
        <v>1541</v>
      </c>
      <c r="B290" s="3" t="s">
        <v>1508</v>
      </c>
      <c r="C290" s="3">
        <v>0</v>
      </c>
      <c r="D290" s="3">
        <v>0</v>
      </c>
      <c r="E290" s="3">
        <v>0</v>
      </c>
      <c r="F290" s="3">
        <v>1</v>
      </c>
    </row>
    <row r="291" spans="1:6" x14ac:dyDescent="0.3">
      <c r="A291" s="3" t="s">
        <v>1541</v>
      </c>
      <c r="B291" s="3" t="s">
        <v>1153</v>
      </c>
      <c r="C291" s="3">
        <v>0</v>
      </c>
      <c r="D291" s="3">
        <v>0</v>
      </c>
      <c r="E291" s="3">
        <v>0</v>
      </c>
      <c r="F291" s="3">
        <v>1</v>
      </c>
    </row>
    <row r="292" spans="1:6" x14ac:dyDescent="0.3">
      <c r="A292" s="3" t="s">
        <v>1541</v>
      </c>
      <c r="B292" s="3" t="s">
        <v>1143</v>
      </c>
      <c r="C292" s="3">
        <v>0</v>
      </c>
      <c r="D292" s="3">
        <v>0</v>
      </c>
      <c r="E292" s="3">
        <v>0</v>
      </c>
      <c r="F292" s="3">
        <v>1</v>
      </c>
    </row>
    <row r="293" spans="1:6" x14ac:dyDescent="0.3">
      <c r="A293" s="3" t="s">
        <v>1541</v>
      </c>
      <c r="B293" s="3" t="s">
        <v>1483</v>
      </c>
      <c r="C293" s="3">
        <v>0</v>
      </c>
      <c r="D293" s="3">
        <v>0</v>
      </c>
      <c r="E293" s="3">
        <v>0</v>
      </c>
      <c r="F293" s="3">
        <v>1</v>
      </c>
    </row>
    <row r="294" spans="1:6" x14ac:dyDescent="0.3">
      <c r="A294" s="3" t="s">
        <v>1541</v>
      </c>
      <c r="B294" s="3" t="s">
        <v>618</v>
      </c>
      <c r="C294" s="3">
        <v>0</v>
      </c>
      <c r="D294" s="3">
        <v>1</v>
      </c>
      <c r="E294" s="3">
        <v>0</v>
      </c>
      <c r="F294" s="3">
        <v>0</v>
      </c>
    </row>
    <row r="295" spans="1:6" x14ac:dyDescent="0.3">
      <c r="A295" s="3" t="s">
        <v>1541</v>
      </c>
      <c r="B295" s="3" t="s">
        <v>223</v>
      </c>
      <c r="C295" s="3">
        <v>0</v>
      </c>
      <c r="D295" s="3">
        <v>0</v>
      </c>
      <c r="E295" s="3">
        <v>1</v>
      </c>
      <c r="F295" s="3">
        <v>0</v>
      </c>
    </row>
    <row r="296" spans="1:6" x14ac:dyDescent="0.3">
      <c r="A296" s="3" t="s">
        <v>1541</v>
      </c>
      <c r="B296" s="3" t="s">
        <v>1453</v>
      </c>
      <c r="C296" s="3">
        <v>0</v>
      </c>
      <c r="D296" s="3">
        <v>0</v>
      </c>
      <c r="E296" s="3">
        <v>0</v>
      </c>
      <c r="F296" s="3">
        <v>1</v>
      </c>
    </row>
    <row r="297" spans="1:6" x14ac:dyDescent="0.3">
      <c r="A297" s="3" t="s">
        <v>1541</v>
      </c>
      <c r="B297" s="3" t="s">
        <v>1468</v>
      </c>
      <c r="C297" s="3">
        <v>0</v>
      </c>
      <c r="D297" s="3">
        <v>0</v>
      </c>
      <c r="E297" s="3">
        <v>0</v>
      </c>
      <c r="F297" s="3">
        <v>1</v>
      </c>
    </row>
    <row r="298" spans="1:6" x14ac:dyDescent="0.3">
      <c r="A298" s="3" t="s">
        <v>1541</v>
      </c>
      <c r="B298" s="3" t="s">
        <v>793</v>
      </c>
      <c r="C298" s="3">
        <v>0</v>
      </c>
      <c r="D298" s="3">
        <v>0</v>
      </c>
      <c r="E298" s="3">
        <v>0</v>
      </c>
      <c r="F298" s="3">
        <v>1</v>
      </c>
    </row>
    <row r="299" spans="1:6" x14ac:dyDescent="0.3">
      <c r="A299" s="3" t="s">
        <v>1541</v>
      </c>
      <c r="B299" s="3" t="s">
        <v>798</v>
      </c>
      <c r="C299" s="3">
        <v>0</v>
      </c>
      <c r="D299" s="3">
        <v>0</v>
      </c>
      <c r="E299" s="3">
        <v>0</v>
      </c>
      <c r="F299" s="3">
        <v>1</v>
      </c>
    </row>
    <row r="300" spans="1:6" x14ac:dyDescent="0.3">
      <c r="A300" s="3" t="s">
        <v>1541</v>
      </c>
      <c r="B300" s="3" t="s">
        <v>1277</v>
      </c>
      <c r="C300" s="3">
        <v>0</v>
      </c>
      <c r="D300" s="3">
        <v>0</v>
      </c>
      <c r="E300" s="3">
        <v>0</v>
      </c>
      <c r="F300" s="3">
        <v>1</v>
      </c>
    </row>
    <row r="301" spans="1:6" x14ac:dyDescent="0.3">
      <c r="A301" s="3" t="s">
        <v>1541</v>
      </c>
      <c r="B301" s="3" t="s">
        <v>371</v>
      </c>
      <c r="C301" s="3">
        <v>0</v>
      </c>
      <c r="D301" s="3">
        <v>0</v>
      </c>
      <c r="E301" s="3">
        <v>1</v>
      </c>
      <c r="F301" s="3">
        <v>0</v>
      </c>
    </row>
    <row r="302" spans="1:6" x14ac:dyDescent="0.3">
      <c r="A302" s="3" t="s">
        <v>1541</v>
      </c>
      <c r="B302" s="3" t="s">
        <v>808</v>
      </c>
      <c r="C302" s="3">
        <v>0</v>
      </c>
      <c r="D302" s="3">
        <v>0</v>
      </c>
      <c r="E302" s="3">
        <v>0</v>
      </c>
      <c r="F302" s="3">
        <v>1</v>
      </c>
    </row>
    <row r="303" spans="1:6" x14ac:dyDescent="0.3">
      <c r="A303" s="3" t="s">
        <v>1541</v>
      </c>
      <c r="B303" s="3" t="s">
        <v>440</v>
      </c>
      <c r="C303" s="3">
        <v>0</v>
      </c>
      <c r="D303" s="3">
        <v>0</v>
      </c>
      <c r="E303" s="3">
        <v>1</v>
      </c>
      <c r="F303" s="3">
        <v>0</v>
      </c>
    </row>
    <row r="304" spans="1:6" x14ac:dyDescent="0.3">
      <c r="A304" s="3" t="s">
        <v>1541</v>
      </c>
      <c r="B304" s="3" t="s">
        <v>1231</v>
      </c>
      <c r="C304" s="3">
        <v>0</v>
      </c>
      <c r="D304" s="3">
        <v>0</v>
      </c>
      <c r="E304" s="3">
        <v>0</v>
      </c>
      <c r="F304" s="3">
        <v>1</v>
      </c>
    </row>
    <row r="305" spans="1:6" x14ac:dyDescent="0.3">
      <c r="A305" s="3" t="s">
        <v>1541</v>
      </c>
      <c r="B305" s="3" t="s">
        <v>963</v>
      </c>
      <c r="C305" s="3">
        <v>0</v>
      </c>
      <c r="D305" s="3">
        <v>0</v>
      </c>
      <c r="E305" s="3">
        <v>0</v>
      </c>
      <c r="F305" s="3">
        <v>1</v>
      </c>
    </row>
    <row r="306" spans="1:6" x14ac:dyDescent="0.3">
      <c r="A306" s="3" t="s">
        <v>1541</v>
      </c>
      <c r="B306" s="3" t="s">
        <v>1158</v>
      </c>
      <c r="C306" s="3">
        <v>0</v>
      </c>
      <c r="D306" s="3">
        <v>0</v>
      </c>
      <c r="E306" s="3">
        <v>0</v>
      </c>
      <c r="F306" s="3">
        <v>1</v>
      </c>
    </row>
  </sheetData>
  <autoFilter ref="A3:F3" xr:uid="{00000000-0009-0000-0000-00000C000000}"/>
  <hyperlinks>
    <hyperlink ref="A1" location="'Home Worksheet'!A1" display="'Home Worksheet'!A1"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workbookViewId="0">
      <pane xSplit="2" ySplit="2" topLeftCell="C3" activePane="bottomRight" state="frozen"/>
      <selection pane="topRight" activeCell="C1" sqref="C1"/>
      <selection pane="bottomLeft" activeCell="A3" sqref="A3"/>
      <selection pane="bottomRight"/>
    </sheetView>
  </sheetViews>
  <sheetFormatPr defaultRowHeight="14.4" x14ac:dyDescent="0.3"/>
  <cols>
    <col min="1" max="3" width="20.6640625" customWidth="1"/>
    <col min="4" max="4" width="50.6640625" customWidth="1"/>
    <col min="5" max="5" width="10.6640625" customWidth="1"/>
    <col min="6" max="6" width="50.6640625" customWidth="1"/>
  </cols>
  <sheetData>
    <row r="1" spans="1:6" x14ac:dyDescent="0.3">
      <c r="A1" s="2" t="s">
        <v>0</v>
      </c>
    </row>
    <row r="2" spans="1:6" x14ac:dyDescent="0.3">
      <c r="A2" s="1" t="s">
        <v>1</v>
      </c>
      <c r="B2" s="1" t="s">
        <v>7</v>
      </c>
      <c r="C2" s="1" t="s">
        <v>4</v>
      </c>
      <c r="D2" s="1" t="s">
        <v>9</v>
      </c>
      <c r="E2" s="1" t="s">
        <v>1542</v>
      </c>
      <c r="F2" s="1" t="s">
        <v>1543</v>
      </c>
    </row>
    <row r="3" spans="1:6" x14ac:dyDescent="0.3">
      <c r="A3" s="3" t="s">
        <v>21</v>
      </c>
      <c r="B3" s="3" t="s">
        <v>1544</v>
      </c>
      <c r="C3" s="3">
        <v>25203</v>
      </c>
      <c r="D3" s="3" t="s">
        <v>38</v>
      </c>
      <c r="E3" s="3">
        <v>1</v>
      </c>
      <c r="F3" s="3" t="s">
        <v>22</v>
      </c>
    </row>
    <row r="4" spans="1:6" x14ac:dyDescent="0.3">
      <c r="A4" s="3" t="s">
        <v>21</v>
      </c>
      <c r="B4" s="3" t="s">
        <v>1544</v>
      </c>
      <c r="C4" s="3">
        <v>25202</v>
      </c>
      <c r="D4" s="3" t="s">
        <v>40</v>
      </c>
      <c r="E4" s="3">
        <v>1</v>
      </c>
      <c r="F4" s="3" t="s">
        <v>22</v>
      </c>
    </row>
    <row r="5" spans="1:6" x14ac:dyDescent="0.3">
      <c r="A5" s="3" t="s">
        <v>21</v>
      </c>
      <c r="B5" s="3" t="s">
        <v>1544</v>
      </c>
      <c r="C5" s="3">
        <v>14272</v>
      </c>
      <c r="D5" s="3" t="s">
        <v>43</v>
      </c>
      <c r="E5" s="3">
        <v>1</v>
      </c>
      <c r="F5" s="3" t="s">
        <v>22</v>
      </c>
    </row>
    <row r="6" spans="1:6" x14ac:dyDescent="0.3">
      <c r="A6" s="3" t="s">
        <v>21</v>
      </c>
      <c r="B6" s="3" t="s">
        <v>1544</v>
      </c>
      <c r="C6" s="3">
        <v>141118</v>
      </c>
      <c r="D6" s="3" t="s">
        <v>26</v>
      </c>
      <c r="E6" s="3">
        <v>1</v>
      </c>
      <c r="F6" s="3" t="s">
        <v>22</v>
      </c>
    </row>
    <row r="7" spans="1:6" x14ac:dyDescent="0.3">
      <c r="A7" s="3" t="s">
        <v>21</v>
      </c>
      <c r="B7" s="3" t="s">
        <v>1544</v>
      </c>
      <c r="C7" s="3">
        <v>55472</v>
      </c>
      <c r="D7" s="3" t="s">
        <v>34</v>
      </c>
      <c r="E7" s="3">
        <v>1</v>
      </c>
      <c r="F7" s="3" t="s">
        <v>22</v>
      </c>
    </row>
    <row r="8" spans="1:6" x14ac:dyDescent="0.3">
      <c r="A8" s="3" t="s">
        <v>21</v>
      </c>
      <c r="B8" s="3" t="s">
        <v>1544</v>
      </c>
      <c r="C8" s="3">
        <v>19506</v>
      </c>
      <c r="D8" s="3" t="s">
        <v>31</v>
      </c>
      <c r="E8" s="3">
        <v>1</v>
      </c>
      <c r="F8" s="3" t="s">
        <v>22</v>
      </c>
    </row>
    <row r="9" spans="1:6" x14ac:dyDescent="0.3">
      <c r="A9" s="3" t="s">
        <v>21</v>
      </c>
      <c r="B9" s="3" t="s">
        <v>1544</v>
      </c>
      <c r="C9" s="3">
        <v>102094</v>
      </c>
      <c r="D9" s="3" t="s">
        <v>29</v>
      </c>
      <c r="E9" s="3">
        <v>1</v>
      </c>
      <c r="F9" s="3" t="s">
        <v>22</v>
      </c>
    </row>
    <row r="10" spans="1:6" x14ac:dyDescent="0.3">
      <c r="A10" s="3" t="s">
        <v>21</v>
      </c>
      <c r="B10" s="3" t="s">
        <v>1544</v>
      </c>
      <c r="C10" s="3">
        <v>21157</v>
      </c>
      <c r="D10" s="3" t="s">
        <v>1541</v>
      </c>
      <c r="E10" s="3">
        <v>1</v>
      </c>
      <c r="F10" s="3" t="s">
        <v>22</v>
      </c>
    </row>
    <row r="11" spans="1:6" x14ac:dyDescent="0.3">
      <c r="A11" s="3" t="s">
        <v>21</v>
      </c>
      <c r="B11" s="3" t="s">
        <v>1544</v>
      </c>
      <c r="C11" s="3">
        <v>33276</v>
      </c>
      <c r="D11" s="3" t="s">
        <v>36</v>
      </c>
      <c r="E11" s="3">
        <v>1</v>
      </c>
      <c r="F11" s="3" t="s">
        <v>22</v>
      </c>
    </row>
    <row r="12" spans="1:6" x14ac:dyDescent="0.3">
      <c r="A12" s="3" t="s">
        <v>21</v>
      </c>
      <c r="B12" s="3" t="s">
        <v>1545</v>
      </c>
      <c r="C12" s="3">
        <v>21157</v>
      </c>
      <c r="D12" s="3" t="s">
        <v>1541</v>
      </c>
      <c r="E12" s="3">
        <v>1</v>
      </c>
      <c r="F12" s="3" t="s">
        <v>22</v>
      </c>
    </row>
    <row r="13" spans="1:6" x14ac:dyDescent="0.3">
      <c r="A13" s="3" t="s">
        <v>21</v>
      </c>
      <c r="B13" s="3" t="s">
        <v>1546</v>
      </c>
      <c r="C13" s="3">
        <v>21157</v>
      </c>
      <c r="D13" s="3" t="s">
        <v>1541</v>
      </c>
      <c r="E13" s="3">
        <v>1</v>
      </c>
      <c r="F13" s="3" t="s">
        <v>22</v>
      </c>
    </row>
  </sheetData>
  <autoFilter ref="A2:F2" xr:uid="{00000000-0009-0000-0000-00000D000000}"/>
  <hyperlinks>
    <hyperlink ref="A1" location="'Home Worksheet'!A1" display="'Home Worksheet'!A1"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7"/>
  <sheetViews>
    <sheetView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2" width="40.6640625" customWidth="1"/>
  </cols>
  <sheetData>
    <row r="1" spans="1:31" x14ac:dyDescent="0.3">
      <c r="A1" s="2" t="s">
        <v>0</v>
      </c>
    </row>
    <row r="2" spans="1:31" x14ac:dyDescent="0.3">
      <c r="A2" s="4" t="s">
        <v>1</v>
      </c>
      <c r="B2" s="4" t="s">
        <v>1547</v>
      </c>
      <c r="C2" s="1" t="s">
        <v>72</v>
      </c>
      <c r="D2" s="1">
        <v>19506</v>
      </c>
      <c r="E2" s="1">
        <v>97993</v>
      </c>
      <c r="F2" s="1">
        <v>12634</v>
      </c>
      <c r="G2" s="1">
        <v>10394</v>
      </c>
      <c r="H2" s="1">
        <v>19762</v>
      </c>
      <c r="I2" s="1">
        <v>73204</v>
      </c>
      <c r="J2" s="1">
        <v>72816</v>
      </c>
      <c r="K2" s="1">
        <v>57399</v>
      </c>
      <c r="L2" s="1">
        <v>57400</v>
      </c>
      <c r="M2" s="1">
        <v>10400</v>
      </c>
      <c r="N2" s="1">
        <v>57033</v>
      </c>
      <c r="O2" s="1">
        <v>10428</v>
      </c>
      <c r="P2" s="1">
        <v>13855</v>
      </c>
      <c r="Q2" s="1">
        <v>110695</v>
      </c>
      <c r="R2" s="1">
        <v>102094</v>
      </c>
      <c r="S2" s="1">
        <v>110723</v>
      </c>
      <c r="T2" s="1">
        <v>104410</v>
      </c>
      <c r="U2" s="1">
        <v>110095</v>
      </c>
      <c r="V2" s="1">
        <v>110385</v>
      </c>
      <c r="W2" s="1">
        <v>117885</v>
      </c>
      <c r="X2" s="1">
        <v>117887</v>
      </c>
      <c r="Y2" s="1">
        <v>21745</v>
      </c>
      <c r="Z2" s="1">
        <v>117886</v>
      </c>
      <c r="AA2" s="1">
        <v>149334</v>
      </c>
      <c r="AB2" s="1">
        <v>141118</v>
      </c>
      <c r="AC2" s="1">
        <v>122503</v>
      </c>
      <c r="AD2" s="1">
        <v>35705</v>
      </c>
      <c r="AE2" s="1">
        <v>102094</v>
      </c>
    </row>
    <row r="3" spans="1:31" x14ac:dyDescent="0.3">
      <c r="A3" s="3" t="s">
        <v>21</v>
      </c>
      <c r="B3" s="3">
        <f>COUNTIF(A7:A7,A3)</f>
        <v>1</v>
      </c>
      <c r="C3" s="3"/>
      <c r="D3" s="3">
        <f>SUMIF(A7:A7,A3,D7:D7)</f>
        <v>1</v>
      </c>
      <c r="E3" s="3">
        <f>SUMIF(A7:A7,A3,E7:E7)</f>
        <v>0</v>
      </c>
      <c r="F3" s="3">
        <f>SUMIF(A7:A7,A3,F7:F7)</f>
        <v>0</v>
      </c>
      <c r="G3" s="3">
        <f>SUMIF(A7:A7,A3,G7:G7)</f>
        <v>0</v>
      </c>
      <c r="H3" s="3">
        <f>SUMIF(A7:A7,A3,H7:H7)</f>
        <v>0</v>
      </c>
      <c r="I3" s="3">
        <f>SUMIF(A7:A7,A3,I7:I7)</f>
        <v>0</v>
      </c>
      <c r="J3" s="3">
        <f>SUMIF(A7:A7,A3,J7:J7)</f>
        <v>0</v>
      </c>
      <c r="K3" s="3">
        <f>SUMIF(A7:A7,A3,K7:K7)</f>
        <v>0</v>
      </c>
      <c r="L3" s="3">
        <f>SUMIF(A7:A7,A3,L7:L7)</f>
        <v>0</v>
      </c>
      <c r="M3" s="3">
        <f>SUMIF(A7:A7,A3,M7:M7)</f>
        <v>0</v>
      </c>
      <c r="N3" s="3">
        <f>SUMIF(A7:A7,A3,N7:N7)</f>
        <v>0</v>
      </c>
      <c r="O3" s="3">
        <f>SUMIF(A7:A7,A3,O7:O7)</f>
        <v>0</v>
      </c>
      <c r="P3" s="3">
        <f>SUMIF(A7:A7,A3,P7:P7)</f>
        <v>0</v>
      </c>
      <c r="Q3" s="3">
        <f>SUMIF(A7:A7,A3,Q7:Q7)</f>
        <v>0</v>
      </c>
      <c r="R3" s="3">
        <f>SUMIF(A7:A7,A3,R7:R7)</f>
        <v>1</v>
      </c>
      <c r="S3" s="3">
        <f>SUMIF(A7:A7,A3,S7:S7)</f>
        <v>0</v>
      </c>
      <c r="T3" s="3">
        <f>SUMIF(A7:A7,A3,T7:T7)</f>
        <v>0</v>
      </c>
      <c r="U3" s="3">
        <f>SUMIF(A7:A7,A3,U7:U7)</f>
        <v>0</v>
      </c>
      <c r="V3" s="3">
        <f>SUMIF(A7:A7,A3,V7:V7)</f>
        <v>0</v>
      </c>
      <c r="W3" s="3">
        <f>SUMIF(A7:A7,A3,W7:W7)</f>
        <v>0</v>
      </c>
      <c r="X3" s="3">
        <f>SUMIF(A7:A7,A3,X7:X7)</f>
        <v>0</v>
      </c>
      <c r="Y3" s="3">
        <f>SUMIF(A7:A7,A3,Y7:Y7)</f>
        <v>0</v>
      </c>
      <c r="Z3" s="3">
        <f>SUMIF(A7:A7,A3,Z7:Z7)</f>
        <v>0</v>
      </c>
      <c r="AA3" s="3">
        <f>SUMIF(A7:A7,A3,AA7:AA7)</f>
        <v>0</v>
      </c>
      <c r="AB3" s="3">
        <f>SUMIF(A7:A7,A3,AB7:AB7)</f>
        <v>1</v>
      </c>
      <c r="AC3" s="3">
        <f>SUMIF(A7:A7,A3,AC7:AC7)</f>
        <v>0</v>
      </c>
      <c r="AD3" s="3">
        <f>SUMIF(A7:A7,A3,AD7:AD7)</f>
        <v>0</v>
      </c>
      <c r="AE3" s="3">
        <f>SUMIF(A7:A7,A3,AE7:AE7)</f>
        <v>1</v>
      </c>
    </row>
    <row r="5" spans="1:31" x14ac:dyDescent="0.3">
      <c r="A5" s="3"/>
      <c r="B5" s="3"/>
      <c r="C5" s="3"/>
      <c r="D5" s="3">
        <f t="shared" ref="D5:AE5" si="0">SUM(D7:D7)</f>
        <v>1</v>
      </c>
      <c r="E5" s="3">
        <f t="shared" si="0"/>
        <v>0</v>
      </c>
      <c r="F5" s="3">
        <f t="shared" si="0"/>
        <v>0</v>
      </c>
      <c r="G5" s="3">
        <f t="shared" si="0"/>
        <v>0</v>
      </c>
      <c r="H5" s="3">
        <f t="shared" si="0"/>
        <v>0</v>
      </c>
      <c r="I5" s="3">
        <f t="shared" si="0"/>
        <v>0</v>
      </c>
      <c r="J5" s="3">
        <f t="shared" si="0"/>
        <v>0</v>
      </c>
      <c r="K5" s="3">
        <f t="shared" si="0"/>
        <v>0</v>
      </c>
      <c r="L5" s="3">
        <f t="shared" si="0"/>
        <v>0</v>
      </c>
      <c r="M5" s="3">
        <f t="shared" si="0"/>
        <v>0</v>
      </c>
      <c r="N5" s="3">
        <f t="shared" si="0"/>
        <v>0</v>
      </c>
      <c r="O5" s="3">
        <f t="shared" si="0"/>
        <v>0</v>
      </c>
      <c r="P5" s="3">
        <f t="shared" si="0"/>
        <v>0</v>
      </c>
      <c r="Q5" s="3">
        <f t="shared" si="0"/>
        <v>0</v>
      </c>
      <c r="R5" s="3">
        <f t="shared" si="0"/>
        <v>1</v>
      </c>
      <c r="S5" s="3">
        <f t="shared" si="0"/>
        <v>0</v>
      </c>
      <c r="T5" s="3">
        <f t="shared" si="0"/>
        <v>0</v>
      </c>
      <c r="U5" s="3">
        <f t="shared" si="0"/>
        <v>0</v>
      </c>
      <c r="V5" s="3">
        <f t="shared" si="0"/>
        <v>0</v>
      </c>
      <c r="W5" s="3">
        <f t="shared" si="0"/>
        <v>0</v>
      </c>
      <c r="X5" s="3">
        <f t="shared" si="0"/>
        <v>0</v>
      </c>
      <c r="Y5" s="3">
        <f t="shared" si="0"/>
        <v>0</v>
      </c>
      <c r="Z5" s="3">
        <f t="shared" si="0"/>
        <v>0</v>
      </c>
      <c r="AA5" s="3">
        <f t="shared" si="0"/>
        <v>0</v>
      </c>
      <c r="AB5" s="3">
        <f t="shared" si="0"/>
        <v>1</v>
      </c>
      <c r="AC5" s="3">
        <f t="shared" si="0"/>
        <v>0</v>
      </c>
      <c r="AD5" s="3">
        <f t="shared" si="0"/>
        <v>0</v>
      </c>
      <c r="AE5" s="3">
        <f t="shared" si="0"/>
        <v>1</v>
      </c>
    </row>
    <row r="6" spans="1:31" x14ac:dyDescent="0.3">
      <c r="A6" s="1" t="s">
        <v>1</v>
      </c>
      <c r="B6" s="1" t="s">
        <v>1547</v>
      </c>
      <c r="C6" s="1" t="s">
        <v>72</v>
      </c>
      <c r="D6" s="1">
        <v>19506</v>
      </c>
      <c r="E6" s="1">
        <v>97993</v>
      </c>
      <c r="F6" s="1">
        <v>12634</v>
      </c>
      <c r="G6" s="1">
        <v>10394</v>
      </c>
      <c r="H6" s="1">
        <v>19762</v>
      </c>
      <c r="I6" s="1">
        <v>73204</v>
      </c>
      <c r="J6" s="1">
        <v>72816</v>
      </c>
      <c r="K6" s="1">
        <v>57399</v>
      </c>
      <c r="L6" s="1">
        <v>57400</v>
      </c>
      <c r="M6" s="1">
        <v>10400</v>
      </c>
      <c r="N6" s="1">
        <v>57033</v>
      </c>
      <c r="O6" s="1">
        <v>10428</v>
      </c>
      <c r="P6" s="1">
        <v>13855</v>
      </c>
      <c r="Q6" s="1">
        <v>110695</v>
      </c>
      <c r="R6" s="1">
        <v>102094</v>
      </c>
      <c r="S6" s="1">
        <v>110723</v>
      </c>
      <c r="T6" s="1">
        <v>104410</v>
      </c>
      <c r="U6" s="1">
        <v>110095</v>
      </c>
      <c r="V6" s="1">
        <v>110385</v>
      </c>
      <c r="W6" s="1">
        <v>117885</v>
      </c>
      <c r="X6" s="1">
        <v>117887</v>
      </c>
      <c r="Y6" s="1">
        <v>21745</v>
      </c>
      <c r="Z6" s="1">
        <v>117886</v>
      </c>
      <c r="AA6" s="1">
        <v>149334</v>
      </c>
      <c r="AB6" s="1">
        <v>141118</v>
      </c>
      <c r="AC6" s="1">
        <v>122503</v>
      </c>
      <c r="AD6" s="1">
        <v>35705</v>
      </c>
      <c r="AE6" s="1">
        <v>102094</v>
      </c>
    </row>
    <row r="7" spans="1:31" x14ac:dyDescent="0.3">
      <c r="A7" s="3" t="s">
        <v>21</v>
      </c>
      <c r="B7" s="3" t="s">
        <v>23</v>
      </c>
      <c r="C7" s="3">
        <f>SUM(D7:AF7)</f>
        <v>4</v>
      </c>
      <c r="D7" s="3">
        <v>1</v>
      </c>
      <c r="E7" s="3">
        <v>0</v>
      </c>
      <c r="F7" s="3">
        <v>0</v>
      </c>
      <c r="G7" s="3">
        <v>0</v>
      </c>
      <c r="H7" s="3">
        <v>0</v>
      </c>
      <c r="I7" s="3">
        <v>0</v>
      </c>
      <c r="J7" s="3">
        <v>0</v>
      </c>
      <c r="K7" s="3">
        <v>0</v>
      </c>
      <c r="L7" s="3">
        <v>0</v>
      </c>
      <c r="M7" s="3">
        <v>0</v>
      </c>
      <c r="N7" s="3">
        <v>0</v>
      </c>
      <c r="O7" s="3">
        <v>0</v>
      </c>
      <c r="P7" s="3">
        <v>0</v>
      </c>
      <c r="Q7" s="3">
        <v>0</v>
      </c>
      <c r="R7" s="3">
        <v>1</v>
      </c>
      <c r="S7" s="3">
        <v>0</v>
      </c>
      <c r="T7" s="3">
        <v>0</v>
      </c>
      <c r="U7" s="3">
        <v>0</v>
      </c>
      <c r="V7" s="3">
        <v>0</v>
      </c>
      <c r="W7" s="3">
        <v>0</v>
      </c>
      <c r="X7" s="3">
        <v>0</v>
      </c>
      <c r="Y7" s="3">
        <v>0</v>
      </c>
      <c r="Z7" s="3">
        <v>0</v>
      </c>
      <c r="AA7" s="3">
        <v>0</v>
      </c>
      <c r="AB7" s="3">
        <v>1</v>
      </c>
      <c r="AC7" s="3">
        <v>0</v>
      </c>
      <c r="AD7" s="3">
        <v>0</v>
      </c>
      <c r="AE7" s="3">
        <v>1</v>
      </c>
    </row>
  </sheetData>
  <autoFilter ref="A6:AF6" xr:uid="{00000000-0009-0000-0000-00000E000000}"/>
  <mergeCells count="1">
    <mergeCell ref="A2:B2"/>
  </mergeCells>
  <hyperlinks>
    <hyperlink ref="A1" location="'Home Worksheet'!A1" display="'Home Worksheet'!A1"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12"/>
  <sheetViews>
    <sheetView workbookViewId="0"/>
  </sheetViews>
  <sheetFormatPr defaultRowHeight="14.4" x14ac:dyDescent="0.3"/>
  <cols>
    <col min="1" max="1" width="60.6640625" customWidth="1"/>
    <col min="2" max="2" width="20.6640625" customWidth="1"/>
  </cols>
  <sheetData>
    <row r="1" spans="1:2" x14ac:dyDescent="0.3">
      <c r="A1" s="2" t="s">
        <v>0</v>
      </c>
    </row>
    <row r="2" spans="1:2" x14ac:dyDescent="0.3">
      <c r="A2" s="4" t="s">
        <v>1548</v>
      </c>
      <c r="B2" s="4"/>
    </row>
    <row r="3" spans="1:2" x14ac:dyDescent="0.3">
      <c r="A3" s="1" t="s">
        <v>1549</v>
      </c>
      <c r="B3" s="1" t="s">
        <v>1550</v>
      </c>
    </row>
    <row r="4" spans="1:2" x14ac:dyDescent="0.3">
      <c r="A4" s="3" t="s">
        <v>60</v>
      </c>
      <c r="B4" s="3">
        <v>1</v>
      </c>
    </row>
    <row r="15" spans="1:2" x14ac:dyDescent="0.3">
      <c r="A15" s="4" t="s">
        <v>1551</v>
      </c>
      <c r="B15" s="4"/>
    </row>
    <row r="16" spans="1:2" x14ac:dyDescent="0.3">
      <c r="A16" s="1" t="s">
        <v>1552</v>
      </c>
      <c r="B16" s="1" t="s">
        <v>1550</v>
      </c>
    </row>
    <row r="17" spans="1:2" x14ac:dyDescent="0.3">
      <c r="A17" s="3" t="s">
        <v>154</v>
      </c>
      <c r="B17" s="3">
        <v>1</v>
      </c>
    </row>
    <row r="28" spans="1:2" x14ac:dyDescent="0.3">
      <c r="A28" s="4" t="s">
        <v>1553</v>
      </c>
      <c r="B28" s="4"/>
    </row>
    <row r="29" spans="1:2" x14ac:dyDescent="0.3">
      <c r="A29" s="1" t="s">
        <v>1554</v>
      </c>
      <c r="B29" s="1" t="s">
        <v>1550</v>
      </c>
    </row>
    <row r="30" spans="1:2" x14ac:dyDescent="0.3">
      <c r="A30" s="3" t="s">
        <v>22</v>
      </c>
      <c r="B30" s="3">
        <v>1</v>
      </c>
    </row>
    <row r="41" spans="1:2" x14ac:dyDescent="0.3">
      <c r="A41" s="4" t="s">
        <v>1555</v>
      </c>
      <c r="B41" s="4"/>
    </row>
    <row r="42" spans="1:2" x14ac:dyDescent="0.3">
      <c r="A42" s="1" t="s">
        <v>1556</v>
      </c>
      <c r="B42" s="1" t="s">
        <v>1550</v>
      </c>
    </row>
    <row r="43" spans="1:2" x14ac:dyDescent="0.3">
      <c r="A43" s="3">
        <v>10</v>
      </c>
      <c r="B43" s="3">
        <v>1</v>
      </c>
    </row>
    <row r="54" spans="1:2" x14ac:dyDescent="0.3">
      <c r="A54" s="4" t="s">
        <v>1557</v>
      </c>
      <c r="B54" s="4"/>
    </row>
    <row r="55" spans="1:2" x14ac:dyDescent="0.3">
      <c r="A55" s="1" t="s">
        <v>1558</v>
      </c>
      <c r="B55" s="1" t="s">
        <v>1550</v>
      </c>
    </row>
    <row r="56" spans="1:2" x14ac:dyDescent="0.3">
      <c r="A56" s="3">
        <v>0</v>
      </c>
      <c r="B56" s="3">
        <v>1</v>
      </c>
    </row>
    <row r="67" spans="1:2" x14ac:dyDescent="0.3">
      <c r="A67" s="4" t="s">
        <v>1559</v>
      </c>
      <c r="B67" s="4"/>
    </row>
    <row r="68" spans="1:2" x14ac:dyDescent="0.3">
      <c r="A68" s="1" t="s">
        <v>1560</v>
      </c>
      <c r="B68" s="1" t="s">
        <v>1550</v>
      </c>
    </row>
    <row r="69" spans="1:2" x14ac:dyDescent="0.3">
      <c r="A69" s="3">
        <v>0</v>
      </c>
      <c r="B69" s="3">
        <v>1</v>
      </c>
    </row>
    <row r="80" spans="1:2" x14ac:dyDescent="0.3">
      <c r="A80" s="4" t="s">
        <v>1561</v>
      </c>
      <c r="B80" s="4"/>
    </row>
    <row r="81" spans="1:2" x14ac:dyDescent="0.3">
      <c r="A81" s="1" t="s">
        <v>1562</v>
      </c>
      <c r="B81" s="1" t="s">
        <v>1550</v>
      </c>
    </row>
    <row r="82" spans="1:2" x14ac:dyDescent="0.3">
      <c r="A82" s="3">
        <v>0</v>
      </c>
      <c r="B82" s="3">
        <v>1</v>
      </c>
    </row>
    <row r="93" spans="1:2" x14ac:dyDescent="0.3">
      <c r="A93" s="4" t="s">
        <v>1563</v>
      </c>
      <c r="B93" s="4"/>
    </row>
    <row r="94" spans="1:2" x14ac:dyDescent="0.3">
      <c r="A94" s="1" t="s">
        <v>1564</v>
      </c>
      <c r="B94" s="1" t="s">
        <v>1550</v>
      </c>
    </row>
    <row r="95" spans="1:2" x14ac:dyDescent="0.3">
      <c r="A95" s="3">
        <v>0</v>
      </c>
      <c r="B95" s="3">
        <v>1</v>
      </c>
    </row>
    <row r="106" spans="1:2" x14ac:dyDescent="0.3">
      <c r="A106" s="4" t="s">
        <v>1565</v>
      </c>
      <c r="B106" s="4"/>
    </row>
    <row r="107" spans="1:2" x14ac:dyDescent="0.3">
      <c r="A107" s="1" t="s">
        <v>1566</v>
      </c>
      <c r="B107" s="1" t="s">
        <v>1550</v>
      </c>
    </row>
    <row r="108" spans="1:2" x14ac:dyDescent="0.3">
      <c r="A108" s="3" t="s">
        <v>1532</v>
      </c>
      <c r="B108" s="3">
        <v>1</v>
      </c>
    </row>
    <row r="119" spans="1:2" x14ac:dyDescent="0.3">
      <c r="A119" s="4" t="s">
        <v>1567</v>
      </c>
      <c r="B119" s="4"/>
    </row>
    <row r="120" spans="1:2" x14ac:dyDescent="0.3">
      <c r="A120" s="1" t="s">
        <v>1568</v>
      </c>
      <c r="B120" s="1" t="s">
        <v>1550</v>
      </c>
    </row>
    <row r="121" spans="1:2" x14ac:dyDescent="0.3">
      <c r="A121" s="3" t="s">
        <v>1532</v>
      </c>
      <c r="B121" s="3">
        <v>1</v>
      </c>
    </row>
    <row r="132" spans="1:2" x14ac:dyDescent="0.3">
      <c r="A132" s="4" t="s">
        <v>1569</v>
      </c>
      <c r="B132" s="4"/>
    </row>
    <row r="133" spans="1:2" x14ac:dyDescent="0.3">
      <c r="A133" s="1" t="s">
        <v>1570</v>
      </c>
      <c r="B133" s="1" t="s">
        <v>1550</v>
      </c>
    </row>
    <row r="134" spans="1:2" x14ac:dyDescent="0.3">
      <c r="A134" s="3" t="s">
        <v>1532</v>
      </c>
      <c r="B134" s="3">
        <v>1</v>
      </c>
    </row>
    <row r="145" spans="1:2" x14ac:dyDescent="0.3">
      <c r="A145" s="4" t="s">
        <v>1571</v>
      </c>
      <c r="B145" s="4"/>
    </row>
    <row r="146" spans="1:2" x14ac:dyDescent="0.3">
      <c r="A146" s="1" t="s">
        <v>1572</v>
      </c>
      <c r="B146" s="1" t="s">
        <v>1550</v>
      </c>
    </row>
    <row r="147" spans="1:2" x14ac:dyDescent="0.3">
      <c r="A147" s="3" t="s">
        <v>1532</v>
      </c>
      <c r="B147" s="3">
        <v>1</v>
      </c>
    </row>
    <row r="158" spans="1:2" x14ac:dyDescent="0.3">
      <c r="A158" s="4" t="s">
        <v>1573</v>
      </c>
      <c r="B158" s="4"/>
    </row>
    <row r="159" spans="1:2" x14ac:dyDescent="0.3">
      <c r="A159" s="1" t="s">
        <v>1574</v>
      </c>
      <c r="B159" s="1" t="s">
        <v>1550</v>
      </c>
    </row>
    <row r="160" spans="1:2" x14ac:dyDescent="0.3">
      <c r="A160" s="3" t="s">
        <v>1532</v>
      </c>
      <c r="B160" s="3">
        <v>1</v>
      </c>
    </row>
    <row r="171" spans="1:2" x14ac:dyDescent="0.3">
      <c r="A171" s="4" t="s">
        <v>1575</v>
      </c>
      <c r="B171" s="4"/>
    </row>
    <row r="172" spans="1:2" x14ac:dyDescent="0.3">
      <c r="A172" s="1" t="s">
        <v>1576</v>
      </c>
      <c r="B172" s="1" t="s">
        <v>1550</v>
      </c>
    </row>
    <row r="173" spans="1:2" x14ac:dyDescent="0.3">
      <c r="A173" s="3" t="s">
        <v>1532</v>
      </c>
      <c r="B173" s="3">
        <v>1</v>
      </c>
    </row>
    <row r="184" spans="1:2" x14ac:dyDescent="0.3">
      <c r="A184" s="4" t="s">
        <v>1577</v>
      </c>
      <c r="B184" s="4"/>
    </row>
    <row r="185" spans="1:2" x14ac:dyDescent="0.3">
      <c r="A185" s="1" t="s">
        <v>1578</v>
      </c>
      <c r="B185" s="1" t="s">
        <v>1550</v>
      </c>
    </row>
    <row r="186" spans="1:2" x14ac:dyDescent="0.3">
      <c r="A186" s="3" t="s">
        <v>1532</v>
      </c>
      <c r="B186" s="3">
        <v>1</v>
      </c>
    </row>
    <row r="197" spans="1:2" x14ac:dyDescent="0.3">
      <c r="A197" s="4" t="s">
        <v>1579</v>
      </c>
      <c r="B197" s="4"/>
    </row>
    <row r="198" spans="1:2" x14ac:dyDescent="0.3">
      <c r="A198" s="1" t="s">
        <v>1580</v>
      </c>
      <c r="B198" s="1" t="s">
        <v>1550</v>
      </c>
    </row>
    <row r="199" spans="1:2" x14ac:dyDescent="0.3">
      <c r="A199" s="3" t="s">
        <v>1532</v>
      </c>
      <c r="B199" s="3">
        <v>1</v>
      </c>
    </row>
    <row r="210" spans="1:2" x14ac:dyDescent="0.3">
      <c r="A210" s="4" t="s">
        <v>1581</v>
      </c>
      <c r="B210" s="4"/>
    </row>
    <row r="211" spans="1:2" x14ac:dyDescent="0.3">
      <c r="A211" s="1" t="s">
        <v>1582</v>
      </c>
      <c r="B211" s="1" t="s">
        <v>1550</v>
      </c>
    </row>
    <row r="212" spans="1:2" x14ac:dyDescent="0.3">
      <c r="A212" s="3" t="s">
        <v>1532</v>
      </c>
      <c r="B212" s="3">
        <v>1</v>
      </c>
    </row>
  </sheetData>
  <mergeCells count="17">
    <mergeCell ref="A197:B197"/>
    <mergeCell ref="A210:B210"/>
    <mergeCell ref="A132:B132"/>
    <mergeCell ref="A145:B145"/>
    <mergeCell ref="A158:B158"/>
    <mergeCell ref="A171:B171"/>
    <mergeCell ref="A184:B184"/>
    <mergeCell ref="A67:B67"/>
    <mergeCell ref="A80:B80"/>
    <mergeCell ref="A93:B93"/>
    <mergeCell ref="A106:B106"/>
    <mergeCell ref="A119:B119"/>
    <mergeCell ref="A2:B2"/>
    <mergeCell ref="A15:B15"/>
    <mergeCell ref="A28:B28"/>
    <mergeCell ref="A41:B41"/>
    <mergeCell ref="A54:B54"/>
  </mergeCells>
  <hyperlinks>
    <hyperlink ref="A1" location="'Home Worksheet'!A1" display="'Home Worksheet'!A1" xr:uid="{00000000-0004-0000-0F00-000000000000}"/>
  </hyperlinks>
  <pageMargins left="0.7" right="0.7" top="0.75" bottom="0.75" header="0.3" footer="0.3"/>
  <drawing r:id="rId1"/>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 Worksheet</vt:lpstr>
      <vt:lpstr>host_scan_data</vt:lpstr>
      <vt:lpstr>ScanInfo</vt:lpstr>
      <vt:lpstr>CVSSv3 Score Total</vt:lpstr>
      <vt:lpstr>Information</vt:lpstr>
      <vt:lpstr>CPE Report Data</vt:lpstr>
      <vt:lpstr>Device Type</vt:lpstr>
      <vt:lpstr>HostConfigData</vt:lpstr>
      <vt:lpstr>portScanData</vt:lpstr>
      <vt:lpstr>Sheet1</vt:lpstr>
      <vt:lpstr>Unix Policy</vt:lpstr>
      <vt:lpstr>UserAccountData</vt:lpstr>
      <vt:lpstr>Summary Report Data</vt:lpstr>
      <vt:lpstr>PolicySummary Report Data</vt:lpstr>
      <vt:lpstr>Vulnerability to IP Summary</vt:lpstr>
      <vt:lpstr>Authentication Summary Data</vt:lpstr>
      <vt:lpstr>HostSummary Report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2025-11-11T17:54:55Z</dcterms:created>
  <dcterms:modified xsi:type="dcterms:W3CDTF">2025-11-11T17:59:09Z</dcterms:modified>
</cp:coreProperties>
</file>